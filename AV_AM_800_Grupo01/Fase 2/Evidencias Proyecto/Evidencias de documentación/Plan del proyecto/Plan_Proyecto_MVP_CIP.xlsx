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Avance" sheetId="2" state="visible" r:id="rId2"/>
    <sheet xmlns:r="http://schemas.openxmlformats.org/officeDocument/2006/relationships" name="Roadmap Sprints" sheetId="3" state="visible" r:id="rId3"/>
    <sheet xmlns:r="http://schemas.openxmlformats.org/officeDocument/2006/relationships" name="Historias de usuario" sheetId="4" state="visible" r:id="rId4"/>
    <sheet xmlns:r="http://schemas.openxmlformats.org/officeDocument/2006/relationships" name="Requisitos no funcionales" sheetId="5" state="visible" r:id="rId5"/>
    <sheet xmlns:r="http://schemas.openxmlformats.org/officeDocument/2006/relationships" name="Backlog por Sprint" sheetId="6" state="visible" r:id="rId6"/>
    <sheet xmlns:r="http://schemas.openxmlformats.org/officeDocument/2006/relationships" name="Hitos" sheetId="7" state="visible" r:id="rId7"/>
    <sheet xmlns:r="http://schemas.openxmlformats.org/officeDocument/2006/relationships" name="Riesgos" sheetId="8" state="visible" r:id="rId8"/>
    <sheet xmlns:r="http://schemas.openxmlformats.org/officeDocument/2006/relationships" name="Análisis Predictiv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dd\-mm\-yyyy"/>
    <numFmt numFmtId="166" formatCode="0.0"/>
    <numFmt numFmtId="167" formatCode="dd-mm-yyyy"/>
  </numFmts>
  <fonts count="19">
    <font>
      <name val="Calibri"/>
      <color theme="1"/>
      <sz val="11"/>
      <scheme val="minor"/>
    </font>
    <font>
      <name val="Arial"/>
      <b val="1"/>
      <color rgb="FF1F3864"/>
      <sz val="16"/>
    </font>
    <font>
      <name val="Arial"/>
      <i val="1"/>
      <color rgb="FF666666"/>
      <sz val="10"/>
    </font>
    <font>
      <name val="Arial"/>
      <b val="1"/>
      <color rgb="FF1F3864"/>
      <sz val="12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color theme="1"/>
      <sz val="10"/>
    </font>
    <font/>
    <font>
      <name val="Calibri"/>
      <color theme="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0000FF"/>
      <sz val="10"/>
    </font>
    <font>
      <name val="Arial"/>
      <b val="1"/>
      <color rgb="000000FF"/>
      <sz val="10"/>
    </font>
    <font>
      <name val="Arial"/>
      <b val="1"/>
      <sz val="11"/>
    </font>
  </fonts>
  <fills count="1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8DEF8"/>
        <bgColor rgb="FFE8DEF8"/>
      </patternFill>
    </fill>
    <fill>
      <patternFill patternType="solid">
        <fgColor rgb="FFFBE5D5"/>
        <bgColor rgb="FFFBE5D5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FCE4E4"/>
        <bgColor rgb="FFFCE4E4"/>
      </patternFill>
    </fill>
    <fill>
      <patternFill patternType="solid">
        <fgColor rgb="FFE2F0D9"/>
        <bgColor rgb="FFE2F0D9"/>
      </patternFill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8DEF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8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center" vertical="center" wrapText="1"/>
    </xf>
    <xf numFmtId="164" fontId="6" fillId="0" borderId="2" applyAlignment="1" pivotButton="0" quotePrefix="0" xfId="0">
      <alignment vertical="bottom"/>
    </xf>
    <xf numFmtId="0" fontId="7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left" vertical="top" wrapText="1"/>
    </xf>
    <xf numFmtId="0" fontId="7" fillId="0" borderId="4" pivotButton="0" quotePrefix="0" xfId="0"/>
    <xf numFmtId="0" fontId="6" fillId="0" borderId="2" applyAlignment="1" pivotButton="0" quotePrefix="0" xfId="0">
      <alignment vertical="bottom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164" fontId="6" fillId="0" borderId="1" applyAlignment="1" pivotButton="0" quotePrefix="0" xfId="0">
      <alignment vertical="bottom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vertical="bottom"/>
    </xf>
    <xf numFmtId="0" fontId="12" fillId="0" borderId="0" pivotButton="0" quotePrefix="0" xfId="0"/>
    <xf numFmtId="0" fontId="13" fillId="10" borderId="0" applyAlignment="1" pivotButton="0" quotePrefix="0" xfId="0">
      <alignment vertical="center" wrapText="1"/>
    </xf>
    <xf numFmtId="0" fontId="10" fillId="0" borderId="0" pivotButton="0" quotePrefix="0" xfId="0"/>
    <xf numFmtId="9" fontId="10" fillId="0" borderId="0" pivotButton="0" quotePrefix="0" xfId="0"/>
    <xf numFmtId="166" fontId="10" fillId="0" borderId="0" pivotButton="0" quotePrefix="0" xfId="0"/>
    <xf numFmtId="0" fontId="9" fillId="0" borderId="0" pivotButton="0" quotePrefix="0" xfId="0"/>
    <xf numFmtId="9" fontId="9" fillId="0" borderId="0" pivotButton="0" quotePrefix="0" xfId="0"/>
    <xf numFmtId="166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1" fillId="0" borderId="0" pivotButton="0" quotePrefix="0" xfId="0"/>
    <xf numFmtId="167" fontId="17" fillId="11" borderId="0" pivotButton="0" quotePrefix="0" xfId="0"/>
    <xf numFmtId="0" fontId="18" fillId="0" borderId="0" pivotButton="0" quotePrefix="0" xfId="0"/>
    <xf numFmtId="167" fontId="10" fillId="0" borderId="0" pivotButton="0" quotePrefix="0" xfId="0"/>
    <xf numFmtId="167" fontId="6" fillId="4" borderId="1" applyAlignment="1" pivotButton="0" quotePrefix="0" xfId="0">
      <alignment horizontal="center" vertical="top" wrapText="1"/>
    </xf>
    <xf numFmtId="167" fontId="1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166" fontId="6" fillId="4" borderId="1" applyAlignment="1" pivotButton="0" quotePrefix="0" xfId="0">
      <alignment horizontal="center" vertical="top" wrapText="1"/>
    </xf>
    <xf numFmtId="167" fontId="6" fillId="5" borderId="1" applyAlignment="1" pivotButton="0" quotePrefix="0" xfId="0">
      <alignment horizontal="center" vertical="top" wrapText="1"/>
    </xf>
    <xf numFmtId="167" fontId="16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166" fontId="6" fillId="5" borderId="1" applyAlignment="1" pivotButton="0" quotePrefix="0" xfId="0">
      <alignment horizontal="center" vertical="top" wrapText="1"/>
    </xf>
    <xf numFmtId="167" fontId="6" fillId="8" borderId="1" applyAlignment="1" pivotButton="0" quotePrefix="0" xfId="0">
      <alignment horizontal="center" vertical="top" wrapText="1"/>
    </xf>
    <xf numFmtId="167" fontId="16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166" fontId="6" fillId="8" borderId="1" applyAlignment="1" pivotButton="0" quotePrefix="0" xfId="0">
      <alignment horizontal="center" vertical="top" wrapText="1"/>
    </xf>
    <xf numFmtId="167" fontId="6" fillId="3" borderId="1" applyAlignment="1" pivotButton="0" quotePrefix="0" xfId="0">
      <alignment horizontal="center" vertical="top" wrapText="1"/>
    </xf>
    <xf numFmtId="167" fontId="1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166" fontId="6" fillId="3" borderId="1" applyAlignment="1" pivotButton="0" quotePrefix="0" xfId="0">
      <alignment horizontal="center" vertical="top" wrapText="1"/>
    </xf>
    <xf numFmtId="0" fontId="14" fillId="0" borderId="0" pivotButton="0" quotePrefix="0" xfId="0"/>
    <xf numFmtId="0" fontId="11" fillId="0" borderId="0" pivotButton="0" quotePrefix="0" xfId="0"/>
    <xf numFmtId="0" fontId="13" fillId="10" borderId="7" applyAlignment="1" pivotButton="0" quotePrefix="0" xfId="0">
      <alignment vertical="center" wrapText="1"/>
    </xf>
    <xf numFmtId="0" fontId="9" fillId="12" borderId="7" applyAlignment="1" pivotButton="0" quotePrefix="0" xfId="0">
      <alignment horizontal="center" vertical="top" wrapText="1"/>
    </xf>
    <xf numFmtId="0" fontId="10" fillId="12" borderId="7" applyAlignment="1" pivotButton="0" quotePrefix="0" xfId="0">
      <alignment horizontal="left" vertical="top" wrapText="1"/>
    </xf>
    <xf numFmtId="0" fontId="10" fillId="0" borderId="7" applyAlignment="1" pivotButton="0" quotePrefix="0" xfId="0">
      <alignment horizontal="left" vertical="top" wrapText="1"/>
    </xf>
    <xf numFmtId="0" fontId="10" fillId="0" borderId="7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0" fontId="9" fillId="13" borderId="7" applyAlignment="1" pivotButton="0" quotePrefix="0" xfId="0">
      <alignment horizontal="center" vertical="top" wrapText="1"/>
    </xf>
    <xf numFmtId="0" fontId="10" fillId="13" borderId="7" applyAlignment="1" pivotButton="0" quotePrefix="0" xfId="0">
      <alignment horizontal="left" vertical="top" wrapText="1"/>
    </xf>
    <xf numFmtId="0" fontId="9" fillId="14" borderId="7" applyAlignment="1" pivotButton="0" quotePrefix="0" xfId="0">
      <alignment horizontal="center" vertical="top" wrapText="1"/>
    </xf>
    <xf numFmtId="0" fontId="10" fillId="14" borderId="7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51" min="1" max="1"/>
    <col width="16" customWidth="1" style="51" min="2" max="6"/>
    <col width="8.710000000000001" customWidth="1" style="51" min="7" max="26"/>
  </cols>
  <sheetData>
    <row r="1">
      <c r="A1" s="1" t="inlineStr">
        <is>
          <t>Plan de Proyecto – Sistema de Monitoreo CIP en Tiempo Real (MVP)</t>
        </is>
      </c>
    </row>
    <row r="2">
      <c r="A2" s="2" t="inlineStr">
        <is>
          <t>Plataforma: Firebase (GCP) – Cloud Functions, Authentication, Firestore/Realtime Database, Hosting</t>
        </is>
      </c>
    </row>
    <row r="4">
      <c r="A4" s="3" t="inlineStr">
        <is>
          <t>Datos generales del proyecto</t>
        </is>
      </c>
    </row>
    <row r="5">
      <c r="A5" s="4" t="inlineStr">
        <is>
          <t>Fecha de inicio del MVP</t>
        </is>
      </c>
      <c r="B5" s="52" t="n">
        <v>46258</v>
      </c>
      <c r="C5" s="53" t="n"/>
      <c r="D5" s="53" t="n"/>
      <c r="E5" s="53" t="n"/>
      <c r="F5" s="54" t="n"/>
    </row>
    <row r="6">
      <c r="A6" s="4" t="inlineStr">
        <is>
          <t>Fecha de entrega del MVP (demo cliente)</t>
        </is>
      </c>
      <c r="B6" s="52" t="n">
        <v>46360</v>
      </c>
      <c r="C6" s="53" t="n"/>
      <c r="D6" s="53" t="n"/>
      <c r="E6" s="53" t="n"/>
      <c r="F6" s="54" t="n"/>
    </row>
    <row r="7">
      <c r="A7" s="4" t="inlineStr">
        <is>
          <t>Duración total</t>
        </is>
      </c>
      <c r="B7" s="55" t="inlineStr">
        <is>
          <t>14.5 semanas (~3.3 meses) — comprimida desde el plazo original al 18-12</t>
        </is>
      </c>
      <c r="C7" s="53" t="n"/>
      <c r="D7" s="53" t="n"/>
      <c r="E7" s="53" t="n"/>
      <c r="F7" s="54" t="n"/>
    </row>
    <row r="8">
      <c r="A8" s="4" t="inlineStr">
        <is>
          <t>Metodología</t>
        </is>
      </c>
      <c r="B8" s="55" t="inlineStr">
        <is>
          <t>Ágil (Scrum) – Sprints de 2 semanas</t>
        </is>
      </c>
      <c r="C8" s="53" t="n"/>
      <c r="D8" s="53" t="n"/>
      <c r="E8" s="53" t="n"/>
      <c r="F8" s="54" t="n"/>
    </row>
    <row r="9">
      <c r="A9" s="4" t="inlineStr">
        <is>
          <t>N° de sprints</t>
        </is>
      </c>
      <c r="B9" s="55" t="inlineStr">
        <is>
          <t>7 sprints de 2 semanas + 1 semana final de cierre/demo (antes eran 8 sprints + cierre)</t>
        </is>
      </c>
      <c r="C9" s="53" t="n"/>
      <c r="D9" s="53" t="n"/>
      <c r="E9" s="53" t="n"/>
      <c r="F9" s="54" t="n"/>
    </row>
    <row r="10">
      <c r="A10" s="4" t="inlineStr">
        <is>
          <t>Equipo</t>
        </is>
      </c>
      <c r="B10" s="55" t="inlineStr">
        <is>
          <t>4 desarrolladores polifuncionales + 1 técnico de hardware/maqueta</t>
        </is>
      </c>
      <c r="C10" s="53" t="n"/>
      <c r="D10" s="53" t="n"/>
      <c r="E10" s="53" t="n"/>
      <c r="F10" s="54" t="n"/>
    </row>
    <row r="11">
      <c r="A11" s="4" t="inlineStr">
        <is>
          <t>Clientes objetivo del monitoreo</t>
        </is>
      </c>
      <c r="B11" s="55" t="inlineStr">
        <is>
          <t>Plantas de alimentos (ej. Soprole, Colun) que usan procesos de limpieza CIP</t>
        </is>
      </c>
      <c r="C11" s="53" t="n"/>
      <c r="D11" s="53" t="n"/>
      <c r="E11" s="53" t="n"/>
      <c r="F11" s="54" t="n"/>
    </row>
    <row r="12">
      <c r="A12" s="4" t="inlineStr">
        <is>
          <t>Variables a monitorear</t>
        </is>
      </c>
      <c r="B12" s="55" t="inlineStr">
        <is>
          <t>Consumo de químicos, consumo de agua, temperatura, conductividad, pH y otras variables de sensores</t>
        </is>
      </c>
      <c r="C12" s="53" t="n"/>
      <c r="D12" s="53" t="n"/>
      <c r="E12" s="53" t="n"/>
      <c r="F12" s="54" t="n"/>
    </row>
    <row r="13">
      <c r="A13" s="4" t="inlineStr">
        <is>
          <t>⚠ Riesgo de cronograma</t>
        </is>
      </c>
      <c r="B13" s="55" t="inlineStr">
        <is>
          <t>Se mantiene el alcance completo (incluido ML predictivo) pese a tener una sprint menos; la semana de cierre ya no es un colchón real — ver pestaña Riesgos</t>
        </is>
      </c>
      <c r="C13" s="53" t="n"/>
      <c r="D13" s="53" t="n"/>
      <c r="E13" s="53" t="n"/>
      <c r="F13" s="54" t="n"/>
    </row>
    <row r="15">
      <c r="A15" s="3" t="inlineStr">
        <is>
          <t>Alcance del MVP</t>
        </is>
      </c>
    </row>
    <row r="16" ht="23.25" customHeight="1" s="51">
      <c r="A16" s="18" t="inlineStr">
        <is>
          <t>•</t>
        </is>
      </c>
      <c r="B16" s="19" t="inlineStr">
        <is>
          <t>Maqueta funcional (banco de pruebas) con sensores reales conectados: temperatura, conductividad, pH, flujo/consumo de agua y químicos.</t>
        </is>
      </c>
    </row>
    <row r="17" ht="23.25" customHeight="1" s="51">
      <c r="A17" s="18" t="inlineStr">
        <is>
          <t>•</t>
        </is>
      </c>
      <c r="B17" s="19" t="inlineStr">
        <is>
          <t>Pipeline de ingesta de datos: sensores/gateway → Cloud Functions → Firestore/Realtime Database.</t>
        </is>
      </c>
    </row>
    <row r="18" ht="23.25" customHeight="1" s="51">
      <c r="A18" s="18" t="inlineStr">
        <is>
          <t>•</t>
        </is>
      </c>
      <c r="B18" s="19" t="inlineStr">
        <is>
          <t>Aplicación web propia (sin herramientas externas tipo Power BI) para visualizar datos en tiempo real.</t>
        </is>
      </c>
    </row>
    <row r="19" ht="23.25" customHeight="1" s="51">
      <c r="A19" s="18" t="inlineStr">
        <is>
          <t>•</t>
        </is>
      </c>
      <c r="B19" s="19" t="inlineStr">
        <is>
          <t>Autenticación de usuarios (Firebase Authentication) con al menos un rol de cliente y uno interno/admin.</t>
        </is>
      </c>
    </row>
    <row r="20" ht="15" customHeight="1" s="51">
      <c r="A20" s="18" t="inlineStr">
        <is>
          <t>•</t>
        </is>
      </c>
      <c r="B20" s="19" t="inlineStr">
        <is>
          <t>Panel de consumo de químicos y agua provistos por la empresa, con datos históricos básicos.</t>
        </is>
      </c>
    </row>
    <row r="21" ht="45.75" customHeight="1" s="51">
      <c r="A21" s="18" t="inlineStr">
        <is>
          <t>•</t>
        </is>
      </c>
      <c r="B21" s="19" t="inlineStr">
        <is>
          <t>Análisis predictivo con Machine Learning clásico (regresión / series de tiempo tipo ARIMA o Prophet / detección de anomalías) sobre consumo de químicos/agua y variables críticas (pH, temperatura, conductividad), entrenado con datos simulados desde el inicio y recalibrado con datos reales de la maqueta a medida que se acumulan.</t>
        </is>
      </c>
    </row>
    <row r="22" ht="15" customHeight="1" s="51">
      <c r="A22" s="18" t="inlineStr">
        <is>
          <t>•</t>
        </is>
      </c>
      <c r="B22" s="19" t="inlineStr">
        <is>
          <t>Despliegue en un proyecto Firebase/GCP listo para demo ante el cliente el 04-12-2026.</t>
        </is>
      </c>
    </row>
    <row r="23" ht="15.75" customHeight="1" s="51"/>
    <row r="24" ht="15.75" customHeight="1" s="51">
      <c r="A24" s="3" t="inlineStr">
        <is>
          <t>Fuera de alcance (post-MVP)</t>
        </is>
      </c>
    </row>
    <row r="25" ht="15" customHeight="1" s="51">
      <c r="A25" s="18" t="inlineStr">
        <is>
          <t>•</t>
        </is>
      </c>
      <c r="B25" s="19" t="inlineStr">
        <is>
          <t>Reportes avanzados / exportables automatizados y alertas por correo o SMS.</t>
        </is>
      </c>
    </row>
    <row r="26" ht="15" customHeight="1" s="51">
      <c r="A26" s="18" t="inlineStr">
        <is>
          <t>•</t>
        </is>
      </c>
      <c r="B26" s="19" t="inlineStr">
        <is>
          <t>Múltiples plantas/clientes en simultáneo (multi-tenant completo).</t>
        </is>
      </c>
    </row>
    <row r="27" ht="34.5" customHeight="1" s="51">
      <c r="A27" s="18" t="inlineStr">
        <is>
          <t>•</t>
        </is>
      </c>
      <c r="B27" s="19" t="inlineStr">
        <is>
          <t>Deep learning (redes neuronales / LSTM) para el predictivo — el ML clásico entrenado con datos simulados y recalibrado con datos reales es lo que entra al MVP; modelos más sofisticados quedan como evolución post-MVP, cuando existan meses de datos reales.</t>
        </is>
      </c>
    </row>
    <row r="28" ht="15.75" customHeight="1" s="51"/>
    <row r="29" ht="15.75" customHeight="1" s="51"/>
    <row r="30" ht="15.75" customHeight="1" s="51"/>
    <row r="31" ht="15.75" customHeight="1" s="51"/>
    <row r="32" ht="15.75" customHeight="1" s="51"/>
    <row r="33" ht="15.75" customHeight="1" s="51"/>
    <row r="34" ht="15.75" customHeight="1" s="51"/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mergeCells count="21">
    <mergeCell ref="B7:F7"/>
    <mergeCell ref="B16:F16"/>
    <mergeCell ref="B25:F25"/>
    <mergeCell ref="B22:F22"/>
    <mergeCell ref="B18:F18"/>
    <mergeCell ref="B27:F27"/>
    <mergeCell ref="B21:F21"/>
    <mergeCell ref="A2:F2"/>
    <mergeCell ref="B12:F12"/>
    <mergeCell ref="B11:F11"/>
    <mergeCell ref="B8:F8"/>
    <mergeCell ref="B17:F17"/>
    <mergeCell ref="B13:F13"/>
    <mergeCell ref="B10:F10"/>
    <mergeCell ref="B19:F19"/>
    <mergeCell ref="B9:F9"/>
    <mergeCell ref="B6:F6"/>
    <mergeCell ref="B20:F20"/>
    <mergeCell ref="A1:F1"/>
    <mergeCell ref="B5:F5"/>
    <mergeCell ref="B26:F26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52" customWidth="1" style="51" min="1" max="1"/>
    <col width="15" customWidth="1" style="51" min="2" max="2"/>
    <col width="15" customWidth="1" style="51" min="3" max="3"/>
    <col width="15" customWidth="1" style="51" min="4" max="4"/>
    <col width="15" customWidth="1" style="51" min="5" max="5"/>
    <col width="15" customWidth="1" style="51" min="6" max="6"/>
    <col width="15" customWidth="1" style="51" min="7" max="7"/>
    <col width="15" customWidth="1" style="51" min="8" max="8"/>
    <col width="15" customWidth="1" style="51" min="9" max="9"/>
    <col width="15" customWidth="1" style="51" min="10" max="10"/>
  </cols>
  <sheetData>
    <row r="1">
      <c r="A1" s="56" t="inlineStr">
        <is>
          <t>Avance del proyecto: plan vs. real (calculado desde 'Backlog por Sprint')</t>
        </is>
      </c>
    </row>
    <row r="2">
      <c r="A2" s="61" t="inlineStr">
        <is>
          <t>Fecha de corte</t>
        </is>
      </c>
      <c r="B2" s="67" t="n">
        <v>46313</v>
      </c>
      <c r="C2" s="87" t="inlineStr">
        <is>
          <t>← cambiar esta fecha recalcula atrasos y 'días ejecutados' en todo el libro</t>
        </is>
      </c>
    </row>
    <row r="3" ht="32" customHeight="1" s="51">
      <c r="A3" s="57" t="inlineStr">
        <is>
          <t>Sprint</t>
        </is>
      </c>
      <c r="B3" s="57" t="inlineStr">
        <is>
          <t>Total</t>
        </is>
      </c>
      <c r="C3" s="57" t="inlineStr">
        <is>
          <t>Hecho</t>
        </is>
      </c>
      <c r="D3" s="57" t="inlineStr">
        <is>
          <t>En proceso</t>
        </is>
      </c>
      <c r="E3" s="57" t="inlineStr">
        <is>
          <t>Por hacer</t>
        </is>
      </c>
      <c r="F3" s="57" t="inlineStr">
        <is>
          <t>% hecho (n° actividades)</t>
        </is>
      </c>
      <c r="G3" s="57" t="inlineStr">
        <is>
          <t>Días hechos</t>
        </is>
      </c>
      <c r="H3" s="57" t="inlineStr">
        <is>
          <t>Días totales</t>
        </is>
      </c>
    </row>
    <row r="4">
      <c r="A4" s="58" t="inlineStr">
        <is>
          <t>Sprint 1</t>
        </is>
      </c>
      <c r="B4" s="58">
        <f>COUNTIF('Backlog por Sprint'!$A$2:$A$71,A4)</f>
        <v/>
      </c>
      <c r="C4" s="58">
        <f>COUNTIFS('Backlog por Sprint'!$A$2:$A$71,$A4,'Backlog por Sprint'!$G$2:$G$71,"Hecho")</f>
        <v/>
      </c>
      <c r="D4" s="58">
        <f>COUNTIFS('Backlog por Sprint'!$A$2:$A$71,$A4,'Backlog por Sprint'!$G$2:$G$71,"En proceso")</f>
        <v/>
      </c>
      <c r="E4" s="58">
        <f>COUNTIFS('Backlog por Sprint'!$A$2:$A$71,$A4,'Backlog por Sprint'!$G$2:$G$71,"Por hacer")</f>
        <v/>
      </c>
      <c r="F4" s="59">
        <f>IF(B4=0,0,C4/B4)</f>
        <v/>
      </c>
      <c r="G4" s="60">
        <f>SUMIFS('Backlog por Sprint'!$E$2:$E$71,'Backlog por Sprint'!$A$2:$A$71,$A4,'Backlog por Sprint'!$G$2:$G$71,"Hecho")</f>
        <v/>
      </c>
      <c r="H4" s="60">
        <f>SUMIF('Backlog por Sprint'!$A$2:$A$71,$A4,'Backlog por Sprint'!$E$2:$E$71)</f>
        <v/>
      </c>
    </row>
    <row r="5">
      <c r="A5" s="58" t="inlineStr">
        <is>
          <t>Sprint 2</t>
        </is>
      </c>
      <c r="B5" s="58">
        <f>COUNTIF('Backlog por Sprint'!$A$2:$A$71,A5)</f>
        <v/>
      </c>
      <c r="C5" s="58">
        <f>COUNTIFS('Backlog por Sprint'!$A$2:$A$71,$A5,'Backlog por Sprint'!$G$2:$G$71,"Hecho")</f>
        <v/>
      </c>
      <c r="D5" s="58">
        <f>COUNTIFS('Backlog por Sprint'!$A$2:$A$71,$A5,'Backlog por Sprint'!$G$2:$G$71,"En proceso")</f>
        <v/>
      </c>
      <c r="E5" s="58">
        <f>COUNTIFS('Backlog por Sprint'!$A$2:$A$71,$A5,'Backlog por Sprint'!$G$2:$G$71,"Por hacer")</f>
        <v/>
      </c>
      <c r="F5" s="59">
        <f>IF(B5=0,0,C5/B5)</f>
        <v/>
      </c>
      <c r="G5" s="60">
        <f>SUMIFS('Backlog por Sprint'!$E$2:$E$71,'Backlog por Sprint'!$A$2:$A$71,$A5,'Backlog por Sprint'!$G$2:$G$71,"Hecho")</f>
        <v/>
      </c>
      <c r="H5" s="60">
        <f>SUMIF('Backlog por Sprint'!$A$2:$A$71,$A5,'Backlog por Sprint'!$E$2:$E$71)</f>
        <v/>
      </c>
    </row>
    <row r="6">
      <c r="A6" s="58" t="inlineStr">
        <is>
          <t>Sprint 3</t>
        </is>
      </c>
      <c r="B6" s="58">
        <f>COUNTIF('Backlog por Sprint'!$A$2:$A$71,A6)</f>
        <v/>
      </c>
      <c r="C6" s="58">
        <f>COUNTIFS('Backlog por Sprint'!$A$2:$A$71,$A6,'Backlog por Sprint'!$G$2:$G$71,"Hecho")</f>
        <v/>
      </c>
      <c r="D6" s="58">
        <f>COUNTIFS('Backlog por Sprint'!$A$2:$A$71,$A6,'Backlog por Sprint'!$G$2:$G$71,"En proceso")</f>
        <v/>
      </c>
      <c r="E6" s="58">
        <f>COUNTIFS('Backlog por Sprint'!$A$2:$A$71,$A6,'Backlog por Sprint'!$G$2:$G$71,"Por hacer")</f>
        <v/>
      </c>
      <c r="F6" s="59">
        <f>IF(B6=0,0,C6/B6)</f>
        <v/>
      </c>
      <c r="G6" s="60">
        <f>SUMIFS('Backlog por Sprint'!$E$2:$E$71,'Backlog por Sprint'!$A$2:$A$71,$A6,'Backlog por Sprint'!$G$2:$G$71,"Hecho")</f>
        <v/>
      </c>
      <c r="H6" s="60">
        <f>SUMIF('Backlog por Sprint'!$A$2:$A$71,$A6,'Backlog por Sprint'!$E$2:$E$71)</f>
        <v/>
      </c>
    </row>
    <row r="7">
      <c r="A7" s="58" t="inlineStr">
        <is>
          <t>Sprint 4</t>
        </is>
      </c>
      <c r="B7" s="58">
        <f>COUNTIF('Backlog por Sprint'!$A$2:$A$71,A7)</f>
        <v/>
      </c>
      <c r="C7" s="58">
        <f>COUNTIFS('Backlog por Sprint'!$A$2:$A$71,$A7,'Backlog por Sprint'!$G$2:$G$71,"Hecho")</f>
        <v/>
      </c>
      <c r="D7" s="58">
        <f>COUNTIFS('Backlog por Sprint'!$A$2:$A$71,$A7,'Backlog por Sprint'!$G$2:$G$71,"En proceso")</f>
        <v/>
      </c>
      <c r="E7" s="58">
        <f>COUNTIFS('Backlog por Sprint'!$A$2:$A$71,$A7,'Backlog por Sprint'!$G$2:$G$71,"Por hacer")</f>
        <v/>
      </c>
      <c r="F7" s="59">
        <f>IF(B7=0,0,C7/B7)</f>
        <v/>
      </c>
      <c r="G7" s="60">
        <f>SUMIFS('Backlog por Sprint'!$E$2:$E$71,'Backlog por Sprint'!$A$2:$A$71,$A7,'Backlog por Sprint'!$G$2:$G$71,"Hecho")</f>
        <v/>
      </c>
      <c r="H7" s="60">
        <f>SUMIF('Backlog por Sprint'!$A$2:$A$71,$A7,'Backlog por Sprint'!$E$2:$E$71)</f>
        <v/>
      </c>
    </row>
    <row r="8">
      <c r="A8" s="58" t="inlineStr">
        <is>
          <t>Sprint 5</t>
        </is>
      </c>
      <c r="B8" s="58">
        <f>COUNTIF('Backlog por Sprint'!$A$2:$A$71,A8)</f>
        <v/>
      </c>
      <c r="C8" s="58">
        <f>COUNTIFS('Backlog por Sprint'!$A$2:$A$71,$A8,'Backlog por Sprint'!$G$2:$G$71,"Hecho")</f>
        <v/>
      </c>
      <c r="D8" s="58">
        <f>COUNTIFS('Backlog por Sprint'!$A$2:$A$71,$A8,'Backlog por Sprint'!$G$2:$G$71,"En proceso")</f>
        <v/>
      </c>
      <c r="E8" s="58">
        <f>COUNTIFS('Backlog por Sprint'!$A$2:$A$71,$A8,'Backlog por Sprint'!$G$2:$G$71,"Por hacer")</f>
        <v/>
      </c>
      <c r="F8" s="59">
        <f>IF(B8=0,0,C8/B8)</f>
        <v/>
      </c>
      <c r="G8" s="60">
        <f>SUMIFS('Backlog por Sprint'!$E$2:$E$71,'Backlog por Sprint'!$A$2:$A$71,$A8,'Backlog por Sprint'!$G$2:$G$71,"Hecho")</f>
        <v/>
      </c>
      <c r="H8" s="60">
        <f>SUMIF('Backlog por Sprint'!$A$2:$A$71,$A8,'Backlog por Sprint'!$E$2:$E$71)</f>
        <v/>
      </c>
    </row>
    <row r="9">
      <c r="A9" s="58" t="inlineStr">
        <is>
          <t>Sprint 6</t>
        </is>
      </c>
      <c r="B9" s="58">
        <f>COUNTIF('Backlog por Sprint'!$A$2:$A$71,A9)</f>
        <v/>
      </c>
      <c r="C9" s="58">
        <f>COUNTIFS('Backlog por Sprint'!$A$2:$A$71,$A9,'Backlog por Sprint'!$G$2:$G$71,"Hecho")</f>
        <v/>
      </c>
      <c r="D9" s="58">
        <f>COUNTIFS('Backlog por Sprint'!$A$2:$A$71,$A9,'Backlog por Sprint'!$G$2:$G$71,"En proceso")</f>
        <v/>
      </c>
      <c r="E9" s="58">
        <f>COUNTIFS('Backlog por Sprint'!$A$2:$A$71,$A9,'Backlog por Sprint'!$G$2:$G$71,"Por hacer")</f>
        <v/>
      </c>
      <c r="F9" s="59">
        <f>IF(B9=0,0,C9/B9)</f>
        <v/>
      </c>
      <c r="G9" s="60">
        <f>SUMIFS('Backlog por Sprint'!$E$2:$E$71,'Backlog por Sprint'!$A$2:$A$71,$A9,'Backlog por Sprint'!$G$2:$G$71,"Hecho")</f>
        <v/>
      </c>
      <c r="H9" s="60">
        <f>SUMIF('Backlog por Sprint'!$A$2:$A$71,$A9,'Backlog por Sprint'!$E$2:$E$71)</f>
        <v/>
      </c>
    </row>
    <row r="10">
      <c r="A10" s="58" t="inlineStr">
        <is>
          <t>Sprint 7</t>
        </is>
      </c>
      <c r="B10" s="58">
        <f>COUNTIF('Backlog por Sprint'!$A$2:$A$71,A10)</f>
        <v/>
      </c>
      <c r="C10" s="58">
        <f>COUNTIFS('Backlog por Sprint'!$A$2:$A$71,$A10,'Backlog por Sprint'!$G$2:$G$71,"Hecho")</f>
        <v/>
      </c>
      <c r="D10" s="58">
        <f>COUNTIFS('Backlog por Sprint'!$A$2:$A$71,$A10,'Backlog por Sprint'!$G$2:$G$71,"En proceso")</f>
        <v/>
      </c>
      <c r="E10" s="58">
        <f>COUNTIFS('Backlog por Sprint'!$A$2:$A$71,$A10,'Backlog por Sprint'!$G$2:$G$71,"Por hacer")</f>
        <v/>
      </c>
      <c r="F10" s="59">
        <f>IF(B10=0,0,C10/B10)</f>
        <v/>
      </c>
      <c r="G10" s="60">
        <f>SUMIFS('Backlog por Sprint'!$E$2:$E$71,'Backlog por Sprint'!$A$2:$A$71,$A10,'Backlog por Sprint'!$G$2:$G$71,"Hecho")</f>
        <v/>
      </c>
      <c r="H10" s="60">
        <f>SUMIF('Backlog por Sprint'!$A$2:$A$71,$A10,'Backlog por Sprint'!$E$2:$E$71)</f>
        <v/>
      </c>
    </row>
    <row r="11">
      <c r="A11" s="58" t="inlineStr">
        <is>
          <t>Cierre</t>
        </is>
      </c>
      <c r="B11" s="58">
        <f>COUNTIF('Backlog por Sprint'!$A$2:$A$71,A11)</f>
        <v/>
      </c>
      <c r="C11" s="58">
        <f>COUNTIFS('Backlog por Sprint'!$A$2:$A$71,$A11,'Backlog por Sprint'!$G$2:$G$71,"Hecho")</f>
        <v/>
      </c>
      <c r="D11" s="58">
        <f>COUNTIFS('Backlog por Sprint'!$A$2:$A$71,$A11,'Backlog por Sprint'!$G$2:$G$71,"En proceso")</f>
        <v/>
      </c>
      <c r="E11" s="58">
        <f>COUNTIFS('Backlog por Sprint'!$A$2:$A$71,$A11,'Backlog por Sprint'!$G$2:$G$71,"Por hacer")</f>
        <v/>
      </c>
      <c r="F11" s="59">
        <f>IF(B11=0,0,C11/B11)</f>
        <v/>
      </c>
      <c r="G11" s="60">
        <f>SUMIFS('Backlog por Sprint'!$E$2:$E$71,'Backlog por Sprint'!$A$2:$A$71,$A11,'Backlog por Sprint'!$G$2:$G$71,"Hecho")</f>
        <v/>
      </c>
      <c r="H11" s="60">
        <f>SUMIF('Backlog por Sprint'!$A$2:$A$71,$A11,'Backlog por Sprint'!$E$2:$E$71)</f>
        <v/>
      </c>
    </row>
    <row r="12">
      <c r="A12" s="61" t="inlineStr">
        <is>
          <t>Total</t>
        </is>
      </c>
      <c r="B12" s="61">
        <f>SUM(B4:B11)</f>
        <v/>
      </c>
      <c r="C12" s="61">
        <f>SUM(C4:C11)</f>
        <v/>
      </c>
      <c r="D12" s="61">
        <f>SUM(D4:D11)</f>
        <v/>
      </c>
      <c r="E12" s="61">
        <f>SUM(E4:E11)</f>
        <v/>
      </c>
      <c r="F12" s="62">
        <f>IF(B12=0,0,C12/B12)</f>
        <v/>
      </c>
      <c r="G12" s="63">
        <f>SUM(G4:G11)</f>
        <v/>
      </c>
      <c r="H12" s="63">
        <f>SUM(H4:H11)</f>
        <v/>
      </c>
    </row>
    <row r="14">
      <c r="A14" s="61" t="inlineStr">
        <is>
          <t>Por origen</t>
        </is>
      </c>
    </row>
    <row r="15">
      <c r="A15" s="58" t="inlineStr">
        <is>
          <t>Plan original</t>
        </is>
      </c>
      <c r="B15" s="58">
        <f>COUNTIF('Backlog por Sprint'!$I$2:$I$71,"Plan original")</f>
        <v/>
      </c>
      <c r="C15" s="58">
        <f>COUNTIFS('Backlog por Sprint'!$I$2:$I$71,"Plan original",'Backlog por Sprint'!$G$2:$G$71,"Hecho")</f>
        <v/>
      </c>
      <c r="D15" s="58">
        <f>COUNTIFS('Backlog por Sprint'!$I$2:$I$71,"Plan original",'Backlog por Sprint'!$G$2:$G$71,"En proceso")</f>
        <v/>
      </c>
      <c r="E15" s="58">
        <f>COUNTIFS('Backlog por Sprint'!$I$2:$I$71,"Plan original",'Backlog por Sprint'!$G$2:$G$71,"Por hacer")</f>
        <v/>
      </c>
      <c r="F15" s="59">
        <f>IF(B15=0,0,C15/B15)</f>
        <v/>
      </c>
      <c r="G15" s="60">
        <f>SUMIFS('Backlog por Sprint'!$E$2:$E$71,'Backlog por Sprint'!$I$2:$I$71,"Plan original",'Backlog por Sprint'!$G$2:$G$71,"Hecho")</f>
        <v/>
      </c>
      <c r="H15" s="60">
        <f>SUMIF('Backlog por Sprint'!$I$2:$I$71,"Plan original",'Backlog por Sprint'!$E$2:$E$71)</f>
        <v/>
      </c>
    </row>
    <row r="16">
      <c r="A16" s="58" t="inlineStr">
        <is>
          <t>Agregadas (no planificadas)</t>
        </is>
      </c>
      <c r="B16" s="58">
        <f>COUNTIF('Backlog por Sprint'!$I$2:$I$71,"Agregada*")</f>
        <v/>
      </c>
      <c r="C16" s="58">
        <f>COUNTIFS('Backlog por Sprint'!$I$2:$I$71,"Agregada*",'Backlog por Sprint'!$G$2:$G$71,"Hecho")</f>
        <v/>
      </c>
      <c r="D16" s="58">
        <f>COUNTIFS('Backlog por Sprint'!$I$2:$I$71,"Agregada*",'Backlog por Sprint'!$G$2:$G$71,"En proceso")</f>
        <v/>
      </c>
      <c r="E16" s="58">
        <f>COUNTIFS('Backlog por Sprint'!$I$2:$I$71,"Agregada*",'Backlog por Sprint'!$G$2:$G$71,"Por hacer")</f>
        <v/>
      </c>
      <c r="F16" s="59">
        <f>IF(B16=0,0,C16/B16)</f>
        <v/>
      </c>
      <c r="G16" s="60">
        <f>SUMIFS('Backlog por Sprint'!$E$2:$E$71,'Backlog por Sprint'!$I$2:$I$71,"Agregada*",'Backlog por Sprint'!$G$2:$G$71,"Hecho")</f>
        <v/>
      </c>
      <c r="H16" s="60">
        <f>SUMIF('Backlog por Sprint'!$I$2:$I$71,"Agregada*",'Backlog por Sprint'!$E$2:$E$71)</f>
        <v/>
      </c>
    </row>
    <row r="18">
      <c r="A18" s="86" t="inlineStr">
        <is>
          <t>Notas:</t>
        </is>
      </c>
    </row>
    <row r="19">
      <c r="A19" s="65" t="inlineStr">
        <is>
          <t>• Estados actualizados según evidencia en el repositorio (ramas feature/HL, CR, main) y lo informado por el equipo el 18-10-2026.</t>
        </is>
      </c>
    </row>
    <row r="20">
      <c r="A20" s="65" t="inlineStr">
        <is>
          <t>• La maqueta física y la recepción de sensores no se pueden verificar en git: se registran según lo indicado por el equipo.</t>
        </is>
      </c>
    </row>
    <row r="21">
      <c r="A21" s="65" t="inlineStr">
        <is>
          <t>• Días de las actividades agregadas: estimación retroactiva (ver nota al final de 'Backlog por Sprint').</t>
        </is>
      </c>
    </row>
    <row r="22">
      <c r="A22" s="65" t="inlineStr">
        <is>
          <t>• Fuentes de estados: Aplicación/stormcip/SPRINT3.md, Base de datos/PENDIENTES-DASHBOARD.md y el historial de commits.</t>
        </is>
      </c>
    </row>
    <row r="24">
      <c r="A24" s="68" t="inlineStr">
        <is>
          <t>Contraste de plazos: actividades del plan original</t>
        </is>
      </c>
    </row>
    <row r="25" ht="45" customHeight="1" s="51">
      <c r="A25" s="57" t="inlineStr">
        <is>
          <t>Sprint</t>
        </is>
      </c>
      <c r="B25" s="57" t="inlineStr">
        <is>
          <t>Fin plan</t>
        </is>
      </c>
      <c r="C25" s="57" t="inlineStr">
        <is>
          <t>Actividades</t>
        </is>
      </c>
      <c r="D25" s="57" t="inlineStr">
        <is>
          <t>Hechas a tiempo</t>
        </is>
      </c>
      <c r="E25" s="57" t="inlineStr">
        <is>
          <t>Hechas con atraso</t>
        </is>
      </c>
      <c r="F25" s="57" t="inlineStr">
        <is>
          <t>Hechas sin fecha</t>
        </is>
      </c>
      <c r="G25" s="57" t="inlineStr">
        <is>
          <t>Pendientes atrasadas</t>
        </is>
      </c>
      <c r="H25" s="57" t="inlineStr">
        <is>
          <t>Pendientes en plazo</t>
        </is>
      </c>
      <c r="I25" s="57" t="inlineStr">
        <is>
          <t>Mayor atraso (días)</t>
        </is>
      </c>
      <c r="J25" s="57" t="inlineStr">
        <is>
          <t>Mayor atraso (semanas)</t>
        </is>
      </c>
    </row>
    <row r="26">
      <c r="A26" s="58" t="inlineStr">
        <is>
          <t>Sprint 1</t>
        </is>
      </c>
      <c r="B26" s="69">
        <f>INDEX('Roadmap Sprints'!$C$2:$C$9,MATCH(IF(A26="Cierre","Semana de cierre",A26),'Roadmap Sprints'!$A$2:$A$9,0))</f>
        <v/>
      </c>
      <c r="C26" s="58">
        <f>COUNTIFS('Backlog por Sprint'!$A$2:$A$71,$A26,'Backlog por Sprint'!$I$2:$I$71,"Plan original")</f>
        <v/>
      </c>
      <c r="D26" s="58">
        <f>COUNTIFS('Backlog por Sprint'!$A$2:$A$71,$A26,'Backlog por Sprint'!$Q$2:$Q$71,"Hecha a tiempo")</f>
        <v/>
      </c>
      <c r="E26" s="58">
        <f>COUNTIFS('Backlog por Sprint'!$A$2:$A$71,$A26,'Backlog por Sprint'!$Q$2:$Q$71,"Hecha con atraso")</f>
        <v/>
      </c>
      <c r="F26" s="58">
        <f>COUNTIFS('Backlog por Sprint'!$A$2:$A$71,$A26,'Backlog por Sprint'!$Q$2:$Q$71,"Hecha (sin fecha)")</f>
        <v/>
      </c>
      <c r="G26" s="58">
        <f>COUNTIFS('Backlog por Sprint'!$A$2:$A$71,$A26,'Backlog por Sprint'!$Q$2:$Q$71,"Pendiente atrasada")</f>
        <v/>
      </c>
      <c r="H26" s="58">
        <f>COUNTIFS('Backlog por Sprint'!$A$2:$A$71,$A26,'Backlog por Sprint'!$Q$2:$Q$71,"Pendiente en plazo")</f>
        <v/>
      </c>
      <c r="I26" s="58">
        <f>MAX(0,_xlfn.MAXIFS('Backlog por Sprint'!$O$2:$O$71,'Backlog por Sprint'!$A$2:$A$71,$A26,'Backlog por Sprint'!$I$2:$I$71,"Plan original"))</f>
        <v/>
      </c>
      <c r="J26" s="60">
        <f>ROUND(I26/7,1)</f>
        <v/>
      </c>
    </row>
    <row r="27">
      <c r="A27" s="58" t="inlineStr">
        <is>
          <t>Sprint 2</t>
        </is>
      </c>
      <c r="B27" s="69">
        <f>INDEX('Roadmap Sprints'!$C$2:$C$9,MATCH(IF(A27="Cierre","Semana de cierre",A27),'Roadmap Sprints'!$A$2:$A$9,0))</f>
        <v/>
      </c>
      <c r="C27" s="58">
        <f>COUNTIFS('Backlog por Sprint'!$A$2:$A$71,$A27,'Backlog por Sprint'!$I$2:$I$71,"Plan original")</f>
        <v/>
      </c>
      <c r="D27" s="58">
        <f>COUNTIFS('Backlog por Sprint'!$A$2:$A$71,$A27,'Backlog por Sprint'!$Q$2:$Q$71,"Hecha a tiempo")</f>
        <v/>
      </c>
      <c r="E27" s="58">
        <f>COUNTIFS('Backlog por Sprint'!$A$2:$A$71,$A27,'Backlog por Sprint'!$Q$2:$Q$71,"Hecha con atraso")</f>
        <v/>
      </c>
      <c r="F27" s="58">
        <f>COUNTIFS('Backlog por Sprint'!$A$2:$A$71,$A27,'Backlog por Sprint'!$Q$2:$Q$71,"Hecha (sin fecha)")</f>
        <v/>
      </c>
      <c r="G27" s="58">
        <f>COUNTIFS('Backlog por Sprint'!$A$2:$A$71,$A27,'Backlog por Sprint'!$Q$2:$Q$71,"Pendiente atrasada")</f>
        <v/>
      </c>
      <c r="H27" s="58">
        <f>COUNTIFS('Backlog por Sprint'!$A$2:$A$71,$A27,'Backlog por Sprint'!$Q$2:$Q$71,"Pendiente en plazo")</f>
        <v/>
      </c>
      <c r="I27" s="58">
        <f>MAX(0,_xlfn.MAXIFS('Backlog por Sprint'!$O$2:$O$71,'Backlog por Sprint'!$A$2:$A$71,$A27,'Backlog por Sprint'!$I$2:$I$71,"Plan original"))</f>
        <v/>
      </c>
      <c r="J27" s="60">
        <f>ROUND(I27/7,1)</f>
        <v/>
      </c>
    </row>
    <row r="28">
      <c r="A28" s="58" t="inlineStr">
        <is>
          <t>Sprint 3</t>
        </is>
      </c>
      <c r="B28" s="69">
        <f>INDEX('Roadmap Sprints'!$C$2:$C$9,MATCH(IF(A28="Cierre","Semana de cierre",A28),'Roadmap Sprints'!$A$2:$A$9,0))</f>
        <v/>
      </c>
      <c r="C28" s="58">
        <f>COUNTIFS('Backlog por Sprint'!$A$2:$A$71,$A28,'Backlog por Sprint'!$I$2:$I$71,"Plan original")</f>
        <v/>
      </c>
      <c r="D28" s="58">
        <f>COUNTIFS('Backlog por Sprint'!$A$2:$A$71,$A28,'Backlog por Sprint'!$Q$2:$Q$71,"Hecha a tiempo")</f>
        <v/>
      </c>
      <c r="E28" s="58">
        <f>COUNTIFS('Backlog por Sprint'!$A$2:$A$71,$A28,'Backlog por Sprint'!$Q$2:$Q$71,"Hecha con atraso")</f>
        <v/>
      </c>
      <c r="F28" s="58">
        <f>COUNTIFS('Backlog por Sprint'!$A$2:$A$71,$A28,'Backlog por Sprint'!$Q$2:$Q$71,"Hecha (sin fecha)")</f>
        <v/>
      </c>
      <c r="G28" s="58">
        <f>COUNTIFS('Backlog por Sprint'!$A$2:$A$71,$A28,'Backlog por Sprint'!$Q$2:$Q$71,"Pendiente atrasada")</f>
        <v/>
      </c>
      <c r="H28" s="58">
        <f>COUNTIFS('Backlog por Sprint'!$A$2:$A$71,$A28,'Backlog por Sprint'!$Q$2:$Q$71,"Pendiente en plazo")</f>
        <v/>
      </c>
      <c r="I28" s="58">
        <f>MAX(0,_xlfn.MAXIFS('Backlog por Sprint'!$O$2:$O$71,'Backlog por Sprint'!$A$2:$A$71,$A28,'Backlog por Sprint'!$I$2:$I$71,"Plan original"))</f>
        <v/>
      </c>
      <c r="J28" s="60">
        <f>ROUND(I28/7,1)</f>
        <v/>
      </c>
    </row>
    <row r="29">
      <c r="A29" s="58" t="inlineStr">
        <is>
          <t>Sprint 4</t>
        </is>
      </c>
      <c r="B29" s="69">
        <f>INDEX('Roadmap Sprints'!$C$2:$C$9,MATCH(IF(A29="Cierre","Semana de cierre",A29),'Roadmap Sprints'!$A$2:$A$9,0))</f>
        <v/>
      </c>
      <c r="C29" s="58">
        <f>COUNTIFS('Backlog por Sprint'!$A$2:$A$71,$A29,'Backlog por Sprint'!$I$2:$I$71,"Plan original")</f>
        <v/>
      </c>
      <c r="D29" s="58">
        <f>COUNTIFS('Backlog por Sprint'!$A$2:$A$71,$A29,'Backlog por Sprint'!$Q$2:$Q$71,"Hecha a tiempo")</f>
        <v/>
      </c>
      <c r="E29" s="58">
        <f>COUNTIFS('Backlog por Sprint'!$A$2:$A$71,$A29,'Backlog por Sprint'!$Q$2:$Q$71,"Hecha con atraso")</f>
        <v/>
      </c>
      <c r="F29" s="58">
        <f>COUNTIFS('Backlog por Sprint'!$A$2:$A$71,$A29,'Backlog por Sprint'!$Q$2:$Q$71,"Hecha (sin fecha)")</f>
        <v/>
      </c>
      <c r="G29" s="58">
        <f>COUNTIFS('Backlog por Sprint'!$A$2:$A$71,$A29,'Backlog por Sprint'!$Q$2:$Q$71,"Pendiente atrasada")</f>
        <v/>
      </c>
      <c r="H29" s="58">
        <f>COUNTIFS('Backlog por Sprint'!$A$2:$A$71,$A29,'Backlog por Sprint'!$Q$2:$Q$71,"Pendiente en plazo")</f>
        <v/>
      </c>
      <c r="I29" s="58">
        <f>MAX(0,_xlfn.MAXIFS('Backlog por Sprint'!$O$2:$O$71,'Backlog por Sprint'!$A$2:$A$71,$A29,'Backlog por Sprint'!$I$2:$I$71,"Plan original"))</f>
        <v/>
      </c>
      <c r="J29" s="60">
        <f>ROUND(I29/7,1)</f>
        <v/>
      </c>
    </row>
    <row r="30">
      <c r="A30" s="58" t="inlineStr">
        <is>
          <t>Sprint 5</t>
        </is>
      </c>
      <c r="B30" s="69">
        <f>INDEX('Roadmap Sprints'!$C$2:$C$9,MATCH(IF(A30="Cierre","Semana de cierre",A30),'Roadmap Sprints'!$A$2:$A$9,0))</f>
        <v/>
      </c>
      <c r="C30" s="58">
        <f>COUNTIFS('Backlog por Sprint'!$A$2:$A$71,$A30,'Backlog por Sprint'!$I$2:$I$71,"Plan original")</f>
        <v/>
      </c>
      <c r="D30" s="58">
        <f>COUNTIFS('Backlog por Sprint'!$A$2:$A$71,$A30,'Backlog por Sprint'!$Q$2:$Q$71,"Hecha a tiempo")</f>
        <v/>
      </c>
      <c r="E30" s="58">
        <f>COUNTIFS('Backlog por Sprint'!$A$2:$A$71,$A30,'Backlog por Sprint'!$Q$2:$Q$71,"Hecha con atraso")</f>
        <v/>
      </c>
      <c r="F30" s="58">
        <f>COUNTIFS('Backlog por Sprint'!$A$2:$A$71,$A30,'Backlog por Sprint'!$Q$2:$Q$71,"Hecha (sin fecha)")</f>
        <v/>
      </c>
      <c r="G30" s="58">
        <f>COUNTIFS('Backlog por Sprint'!$A$2:$A$71,$A30,'Backlog por Sprint'!$Q$2:$Q$71,"Pendiente atrasada")</f>
        <v/>
      </c>
      <c r="H30" s="58">
        <f>COUNTIFS('Backlog por Sprint'!$A$2:$A$71,$A30,'Backlog por Sprint'!$Q$2:$Q$71,"Pendiente en plazo")</f>
        <v/>
      </c>
      <c r="I30" s="58">
        <f>MAX(0,_xlfn.MAXIFS('Backlog por Sprint'!$O$2:$O$71,'Backlog por Sprint'!$A$2:$A$71,$A30,'Backlog por Sprint'!$I$2:$I$71,"Plan original"))</f>
        <v/>
      </c>
      <c r="J30" s="60">
        <f>ROUND(I30/7,1)</f>
        <v/>
      </c>
    </row>
    <row r="31">
      <c r="A31" s="58" t="inlineStr">
        <is>
          <t>Sprint 6</t>
        </is>
      </c>
      <c r="B31" s="69">
        <f>INDEX('Roadmap Sprints'!$C$2:$C$9,MATCH(IF(A31="Cierre","Semana de cierre",A31),'Roadmap Sprints'!$A$2:$A$9,0))</f>
        <v/>
      </c>
      <c r="C31" s="58">
        <f>COUNTIFS('Backlog por Sprint'!$A$2:$A$71,$A31,'Backlog por Sprint'!$I$2:$I$71,"Plan original")</f>
        <v/>
      </c>
      <c r="D31" s="58">
        <f>COUNTIFS('Backlog por Sprint'!$A$2:$A$71,$A31,'Backlog por Sprint'!$Q$2:$Q$71,"Hecha a tiempo")</f>
        <v/>
      </c>
      <c r="E31" s="58">
        <f>COUNTIFS('Backlog por Sprint'!$A$2:$A$71,$A31,'Backlog por Sprint'!$Q$2:$Q$71,"Hecha con atraso")</f>
        <v/>
      </c>
      <c r="F31" s="58">
        <f>COUNTIFS('Backlog por Sprint'!$A$2:$A$71,$A31,'Backlog por Sprint'!$Q$2:$Q$71,"Hecha (sin fecha)")</f>
        <v/>
      </c>
      <c r="G31" s="58">
        <f>COUNTIFS('Backlog por Sprint'!$A$2:$A$71,$A31,'Backlog por Sprint'!$Q$2:$Q$71,"Pendiente atrasada")</f>
        <v/>
      </c>
      <c r="H31" s="58">
        <f>COUNTIFS('Backlog por Sprint'!$A$2:$A$71,$A31,'Backlog por Sprint'!$Q$2:$Q$71,"Pendiente en plazo")</f>
        <v/>
      </c>
      <c r="I31" s="58">
        <f>MAX(0,_xlfn.MAXIFS('Backlog por Sprint'!$O$2:$O$71,'Backlog por Sprint'!$A$2:$A$71,$A31,'Backlog por Sprint'!$I$2:$I$71,"Plan original"))</f>
        <v/>
      </c>
      <c r="J31" s="60">
        <f>ROUND(I31/7,1)</f>
        <v/>
      </c>
    </row>
    <row r="32">
      <c r="A32" s="58" t="inlineStr">
        <is>
          <t>Sprint 7</t>
        </is>
      </c>
      <c r="B32" s="69">
        <f>INDEX('Roadmap Sprints'!$C$2:$C$9,MATCH(IF(A32="Cierre","Semana de cierre",A32),'Roadmap Sprints'!$A$2:$A$9,0))</f>
        <v/>
      </c>
      <c r="C32" s="58">
        <f>COUNTIFS('Backlog por Sprint'!$A$2:$A$71,$A32,'Backlog por Sprint'!$I$2:$I$71,"Plan original")</f>
        <v/>
      </c>
      <c r="D32" s="58">
        <f>COUNTIFS('Backlog por Sprint'!$A$2:$A$71,$A32,'Backlog por Sprint'!$Q$2:$Q$71,"Hecha a tiempo")</f>
        <v/>
      </c>
      <c r="E32" s="58">
        <f>COUNTIFS('Backlog por Sprint'!$A$2:$A$71,$A32,'Backlog por Sprint'!$Q$2:$Q$71,"Hecha con atraso")</f>
        <v/>
      </c>
      <c r="F32" s="58">
        <f>COUNTIFS('Backlog por Sprint'!$A$2:$A$71,$A32,'Backlog por Sprint'!$Q$2:$Q$71,"Hecha (sin fecha)")</f>
        <v/>
      </c>
      <c r="G32" s="58">
        <f>COUNTIFS('Backlog por Sprint'!$A$2:$A$71,$A32,'Backlog por Sprint'!$Q$2:$Q$71,"Pendiente atrasada")</f>
        <v/>
      </c>
      <c r="H32" s="58">
        <f>COUNTIFS('Backlog por Sprint'!$A$2:$A$71,$A32,'Backlog por Sprint'!$Q$2:$Q$71,"Pendiente en plazo")</f>
        <v/>
      </c>
      <c r="I32" s="58">
        <f>MAX(0,_xlfn.MAXIFS('Backlog por Sprint'!$O$2:$O$71,'Backlog por Sprint'!$A$2:$A$71,$A32,'Backlog por Sprint'!$I$2:$I$71,"Plan original"))</f>
        <v/>
      </c>
      <c r="J32" s="60">
        <f>ROUND(I32/7,1)</f>
        <v/>
      </c>
    </row>
    <row r="33">
      <c r="A33" s="58" t="inlineStr">
        <is>
          <t>Cierre</t>
        </is>
      </c>
      <c r="B33" s="69">
        <f>INDEX('Roadmap Sprints'!$C$2:$C$9,MATCH(IF(A33="Cierre","Semana de cierre",A33),'Roadmap Sprints'!$A$2:$A$9,0))</f>
        <v/>
      </c>
      <c r="C33" s="58">
        <f>COUNTIFS('Backlog por Sprint'!$A$2:$A$71,$A33,'Backlog por Sprint'!$I$2:$I$71,"Plan original")</f>
        <v/>
      </c>
      <c r="D33" s="58">
        <f>COUNTIFS('Backlog por Sprint'!$A$2:$A$71,$A33,'Backlog por Sprint'!$Q$2:$Q$71,"Hecha a tiempo")</f>
        <v/>
      </c>
      <c r="E33" s="58">
        <f>COUNTIFS('Backlog por Sprint'!$A$2:$A$71,$A33,'Backlog por Sprint'!$Q$2:$Q$71,"Hecha con atraso")</f>
        <v/>
      </c>
      <c r="F33" s="58">
        <f>COUNTIFS('Backlog por Sprint'!$A$2:$A$71,$A33,'Backlog por Sprint'!$Q$2:$Q$71,"Hecha (sin fecha)")</f>
        <v/>
      </c>
      <c r="G33" s="58">
        <f>COUNTIFS('Backlog por Sprint'!$A$2:$A$71,$A33,'Backlog por Sprint'!$Q$2:$Q$71,"Pendiente atrasada")</f>
        <v/>
      </c>
      <c r="H33" s="58">
        <f>COUNTIFS('Backlog por Sprint'!$A$2:$A$71,$A33,'Backlog por Sprint'!$Q$2:$Q$71,"Pendiente en plazo")</f>
        <v/>
      </c>
      <c r="I33" s="58">
        <f>MAX(0,_xlfn.MAXIFS('Backlog por Sprint'!$O$2:$O$71,'Backlog por Sprint'!$A$2:$A$71,$A33,'Backlog por Sprint'!$I$2:$I$71,"Plan original"))</f>
        <v/>
      </c>
      <c r="J33" s="60">
        <f>ROUND(I33/7,1)</f>
        <v/>
      </c>
    </row>
    <row r="34">
      <c r="A34" s="61" t="inlineStr">
        <is>
          <t>Total</t>
        </is>
      </c>
      <c r="B34" s="61" t="n"/>
      <c r="C34" s="61">
        <f>SUM(C26:C33)</f>
        <v/>
      </c>
      <c r="D34" s="61">
        <f>SUM(D26:D33)</f>
        <v/>
      </c>
      <c r="E34" s="61">
        <f>SUM(E26:E33)</f>
        <v/>
      </c>
      <c r="F34" s="61">
        <f>SUM(F26:F33)</f>
        <v/>
      </c>
      <c r="G34" s="61">
        <f>SUM(G26:G33)</f>
        <v/>
      </c>
      <c r="H34" s="61">
        <f>SUM(H26:H33)</f>
        <v/>
      </c>
      <c r="I34" s="61">
        <f>MAX(I26:I33)</f>
        <v/>
      </c>
      <c r="J34" s="63">
        <f>ROUND(I34/7,1)</f>
        <v/>
      </c>
    </row>
    <row r="36">
      <c r="A36" s="68" t="inlineStr">
        <is>
          <t>Cumplimiento a la fecha de corte (solo plan original)</t>
        </is>
      </c>
    </row>
    <row r="37" ht="20" customHeight="1" s="51">
      <c r="A37" s="57" t="inlineStr">
        <is>
          <t>Indicador</t>
        </is>
      </c>
      <c r="B37" s="57" t="inlineStr">
        <is>
          <t>Actividades</t>
        </is>
      </c>
      <c r="C37" s="57" t="inlineStr">
        <is>
          <t>Días-persona</t>
        </is>
      </c>
    </row>
    <row r="38">
      <c r="A38" s="58" t="inlineStr">
        <is>
          <t>Con vencimiento hasta el corte (debían estar hechas)</t>
        </is>
      </c>
      <c r="B38" s="58">
        <f>COUNTIFS('Backlog por Sprint'!$I$2:$I$71,"Plan original",'Backlog por Sprint'!$K$2:$K$71,"&lt;="&amp;Avance!$B$2)</f>
        <v/>
      </c>
      <c r="C38" s="60">
        <f>SUMIFS('Backlog por Sprint'!$E$2:$E$71,'Backlog por Sprint'!$I$2:$I$71,"Plan original",'Backlog por Sprint'!$K$2:$K$71,"&lt;="&amp;Avance!$B$2)</f>
        <v/>
      </c>
    </row>
    <row r="39">
      <c r="A39" s="58" t="inlineStr">
        <is>
          <t xml:space="preserve">   de ellas, hechas</t>
        </is>
      </c>
      <c r="B39" s="58">
        <f>COUNTIFS('Backlog por Sprint'!$I$2:$I$71,"Plan original",'Backlog por Sprint'!$K$2:$K$71,"&lt;="&amp;Avance!$B$2,'Backlog por Sprint'!$G$2:$G$71,"Hecho")</f>
        <v/>
      </c>
      <c r="C39" s="60">
        <f>SUMIFS('Backlog por Sprint'!$E$2:$E$71,'Backlog por Sprint'!$I$2:$I$71,"Plan original",'Backlog por Sprint'!$K$2:$K$71,"&lt;="&amp;Avance!$B$2,'Backlog por Sprint'!$G$2:$G$71,"Hecho")</f>
        <v/>
      </c>
    </row>
    <row r="40">
      <c r="A40" s="58" t="inlineStr">
        <is>
          <t xml:space="preserve">   de ellas, en proceso</t>
        </is>
      </c>
      <c r="B40" s="58">
        <f>COUNTIFS('Backlog por Sprint'!$I$2:$I$71,"Plan original",'Backlog por Sprint'!$K$2:$K$71,"&lt;="&amp;Avance!$B$2,'Backlog por Sprint'!$G$2:$G$71,"En proceso")</f>
        <v/>
      </c>
      <c r="C40" s="60">
        <f>SUMIFS('Backlog por Sprint'!$E$2:$E$71,'Backlog por Sprint'!$I$2:$I$71,"Plan original",'Backlog por Sprint'!$K$2:$K$71,"&lt;="&amp;Avance!$B$2,'Backlog por Sprint'!$G$2:$G$71,"En proceso")</f>
        <v/>
      </c>
    </row>
    <row r="41">
      <c r="A41" s="58" t="inlineStr">
        <is>
          <t xml:space="preserve">   de ellas, por hacer</t>
        </is>
      </c>
      <c r="B41" s="58">
        <f>B38-B39-B40</f>
        <v/>
      </c>
      <c r="C41" s="60">
        <f>C38-C39-C40</f>
        <v/>
      </c>
    </row>
    <row r="42">
      <c r="A42" s="58" t="inlineStr">
        <is>
          <t>Cumplimiento de lo comprometido (hechas / con vencimiento)</t>
        </is>
      </c>
      <c r="B42" s="59">
        <f>IF(B38=0,0,B39/B38)</f>
        <v/>
      </c>
      <c r="C42" s="59">
        <f>IF(C38=0,0,C39/C38)</f>
        <v/>
      </c>
    </row>
    <row r="43">
      <c r="A43" s="58" t="inlineStr">
        <is>
          <t>Tiempo transcurrido del proyecto (inicio a demo)</t>
        </is>
      </c>
      <c r="B43" s="59">
        <f>(Avance!$B$2-'Roadmap Sprints'!$B$2+1)/('Roadmap Sprints'!$C$9-'Roadmap Sprints'!$B$2+1)</f>
        <v/>
      </c>
      <c r="C43" s="58" t="n"/>
    </row>
    <row r="44">
      <c r="A44" s="58" t="inlineStr">
        <is>
          <t>Semanas transcurridas / semanas totales</t>
        </is>
      </c>
      <c r="B44" s="60">
        <f>ROUND((Avance!$B$2-'Roadmap Sprints'!$B$2+1)/7,1)</f>
        <v/>
      </c>
      <c r="C44" s="60">
        <f>ROUND(('Roadmap Sprints'!$C$9-'Roadmap Sprints'!$B$2+1)/7,1)</f>
        <v/>
      </c>
    </row>
    <row r="45">
      <c r="A45" s="58" t="inlineStr">
        <is>
          <t>Trabajo no planificado hecho (agregadas, días retroactivos)</t>
        </is>
      </c>
      <c r="B45" s="58">
        <f>COUNTIFS('Backlog por Sprint'!$I$2:$I$71,"Agregada*",'Backlog por Sprint'!$G$2:$G$71,"Hecho")</f>
        <v/>
      </c>
      <c r="C45" s="60">
        <f>SUMIFS('Backlog por Sprint'!$E$2:$E$71,'Backlog por Sprint'!$I$2:$I$71,"Agregada*",'Backlog por Sprint'!$G$2:$G$71,"Hecho")</f>
        <v/>
      </c>
    </row>
    <row r="46">
      <c r="A46" s="58" t="inlineStr">
        <is>
          <t>Días-persona del plan aún por entregar (no hechas)</t>
        </is>
      </c>
      <c r="B46" s="58">
        <f>COUNTIFS('Backlog por Sprint'!$I$2:$I$71,"Plan original",'Backlog por Sprint'!$G$2:$G$71,"&lt;&gt;Hecho")</f>
        <v/>
      </c>
      <c r="C46" s="60">
        <f>SUMIFS('Backlog por Sprint'!$E$2:$E$71,'Backlog por Sprint'!$I$2:$I$71,"Plan original",'Backlog por Sprint'!$G$2:$G$71,"&lt;&gt;Hecho")</f>
        <v/>
      </c>
    </row>
    <row r="47">
      <c r="A47" s="58" t="inlineStr">
        <is>
          <t>Semanas que faltan hasta la demo</t>
        </is>
      </c>
      <c r="B47" s="60">
        <f>ROUND(('Roadmap Sprints'!$C$9-Avance!$B$2)/7,1)</f>
        <v/>
      </c>
      <c r="C47" s="5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1" min="1" max="1"/>
    <col width="12" customWidth="1" style="51" min="2" max="4"/>
    <col width="46" customWidth="1" style="51" min="5" max="5"/>
    <col width="40" customWidth="1" style="51" min="6" max="6"/>
    <col width="38" customWidth="1" style="51" min="7" max="7"/>
    <col width="8.710000000000001" customWidth="1" style="51" min="8" max="26"/>
  </cols>
  <sheetData>
    <row r="1">
      <c r="A1" s="5" t="inlineStr">
        <is>
          <t>Sprint</t>
        </is>
      </c>
      <c r="B1" s="5" t="inlineStr">
        <is>
          <t>Inicio</t>
        </is>
      </c>
      <c r="C1" s="5" t="inlineStr">
        <is>
          <t>Fin</t>
        </is>
      </c>
      <c r="D1" s="5" t="inlineStr">
        <is>
          <t>Días hábiles</t>
        </is>
      </c>
      <c r="E1" s="5" t="inlineStr">
        <is>
          <t>Objetivo principal del sprint</t>
        </is>
      </c>
      <c r="F1" s="5" t="inlineStr">
        <is>
          <t>Hito / Entregable clave</t>
        </is>
      </c>
      <c r="G1" s="5" t="inlineStr">
        <is>
          <t>Foco del Técnico (maqueta)</t>
        </is>
      </c>
    </row>
    <row r="2">
      <c r="A2" s="8" t="inlineStr">
        <is>
          <t>Sprint 1</t>
        </is>
      </c>
      <c r="B2" s="9" t="n">
        <v>46258</v>
      </c>
      <c r="C2" s="9" t="n">
        <v>46271</v>
      </c>
      <c r="D2" s="12">
        <f>NETWORKDAYS(B2,C2)</f>
        <v/>
      </c>
      <c r="E2" s="13" t="inlineStr">
        <is>
          <t>Descubrimiento, arquitectura y cotización. Definir backlog completo, levantar requerimientos con el cliente, diseñar arquitectura Firebase (Auth, Firestore/Realtime DB, Functions) y dejar lista la infraestructura base (proyecto GCP, repos, CI). En paralelo, diseñar el enfoque de simulación de datos para el módulo de ML predictivo (qué variables, qué patrones física-informados usar).</t>
        </is>
      </c>
      <c r="F2" s="13" t="inlineStr">
        <is>
          <t>Backlog priorizado + arquitectura aprobada + proyecto Firebase creado + diseño de la simulación de datos</t>
        </is>
      </c>
      <c r="G2" s="13" t="inlineStr">
        <is>
          <t>Terminar cotización de sensores/gateway; definir modelo de sensores a comprar</t>
        </is>
      </c>
    </row>
    <row r="3">
      <c r="A3" s="14" t="inlineStr">
        <is>
          <t>Sprint 2</t>
        </is>
      </c>
      <c r="B3" s="15" t="n">
        <v>46272</v>
      </c>
      <c r="C3" s="15" t="n">
        <v>46285</v>
      </c>
      <c r="D3" s="16">
        <f>NETWORKDAYS(B3,C3)</f>
        <v/>
      </c>
      <c r="E3" s="17" t="inlineStr">
        <is>
          <t>Compra de sensores y arranque de desarrollo base. Gestionar compra/OC de sensores y gateway. Implementar Firebase Authentication y esquema de datos (Firestore) para lecturas de sensores. Generar el dataset simulado y entrenar la primera versión de los modelos de ML clásico (regresión / ARIMA-Prophet) con esos datos sintéticos.</t>
        </is>
      </c>
      <c r="F3" s="17" t="inlineStr">
        <is>
          <t>Sensores comprados (OC emitida) + Auth funcional + esquema de datos definido + primer modelo ML entrenado con datos simulados</t>
        </is>
      </c>
      <c r="G3" s="17" t="inlineStr">
        <is>
          <t>Recepción de sensores, pruebas de conexión básicas en banco (sin maqueta aún)</t>
        </is>
      </c>
    </row>
    <row r="4">
      <c r="A4" s="8" t="inlineStr">
        <is>
          <t>Sprint 3</t>
        </is>
      </c>
      <c r="B4" s="9" t="n">
        <v>46286</v>
      </c>
      <c r="C4" s="9" t="n">
        <v>46299</v>
      </c>
      <c r="D4" s="12">
        <f>NETWORKDAYS(B4,C4)</f>
        <v/>
      </c>
      <c r="E4" s="13" t="inlineStr">
        <is>
          <t>Ingesta de datos y esqueleto de maqueta. Construir Cloud Functions que reciban datos de sensores y los escriban en la base de datos en tiempo real. Iniciar armado físico de la maqueta. Integrar el modelo ML (entrenado con datos simulados) al backend, exponiendo predicciones vía Function.</t>
        </is>
      </c>
      <c r="F4" s="13" t="inlineStr">
        <is>
          <t>Pipeline sensor → Function → Firestore funcionando con datos simulados + modelo ML servido desde el backend</t>
        </is>
      </c>
      <c r="G4" s="13" t="inlineStr">
        <is>
          <t>Armado estructural de la maqueta y montaje de sensores</t>
        </is>
      </c>
    </row>
    <row r="5">
      <c r="A5" s="14" t="inlineStr">
        <is>
          <t>Sprint 4</t>
        </is>
      </c>
      <c r="B5" s="15" t="n">
        <v>46300</v>
      </c>
      <c r="C5" s="15" t="n">
        <v>46313</v>
      </c>
      <c r="D5" s="16">
        <f>NETWORKDAYS(B5,C5)</f>
        <v/>
      </c>
      <c r="E5" s="17" t="inlineStr">
        <is>
          <t>Primer end-to-end con datos reales. Maqueta enviando datos reales de al menos 2 sensores (ej. temperatura y pH). Construir el esqueleto del dashboard web con gráficos en tiempo real, incluyendo un primer panel con la proyección del modelo ML (aún entrenado solo con datos simulados).</t>
        </is>
      </c>
      <c r="F5" s="17" t="inlineStr">
        <is>
          <t>Demo interna: datos reales de la maqueta llegando al dashboard en vivo + primer panel predictivo visible</t>
        </is>
      </c>
      <c r="G5" s="17" t="inlineStr">
        <is>
          <t>Maqueta operativa con sensores críticos conectados y calibrados</t>
        </is>
      </c>
    </row>
    <row r="6">
      <c r="A6" s="8" t="inlineStr">
        <is>
          <t>Sprint 5</t>
        </is>
      </c>
      <c r="B6" s="9" t="n">
        <v>46314</v>
      </c>
      <c r="C6" s="9" t="n">
        <v>46327</v>
      </c>
      <c r="D6" s="12">
        <f>NETWORKDAYS(B6,C6)</f>
        <v/>
      </c>
      <c r="E6" s="13" t="inlineStr">
        <is>
          <t>Visualización completa. Integrar todos los sensores (conductividad, consumo de agua, químicos). Construir vistas de consumo de químicos/agua y series históricas básicas. Empezar a recalibrar los modelos de ML con los primeros datos reales que ya entrega la maqueta.</t>
        </is>
      </c>
      <c r="F6" s="13" t="inlineStr">
        <is>
          <t>Dashboard muestra todas las variables clave en tiempo real + históricos + modelo ML empezando a usar datos reales</t>
        </is>
      </c>
      <c r="G6" s="13" t="inlineStr">
        <is>
          <t>Todos los sensores de la maqueta integrados y estables</t>
        </is>
      </c>
    </row>
    <row r="7">
      <c r="A7" s="14" t="inlineStr">
        <is>
          <t>Sprint 6</t>
        </is>
      </c>
      <c r="B7" s="15" t="n">
        <v>46328</v>
      </c>
      <c r="C7" s="15" t="n">
        <v>46341</v>
      </c>
      <c r="D7" s="16">
        <f>NETWORKDAYS(B7,C7)</f>
        <v/>
      </c>
      <c r="E7" s="17" t="inlineStr">
        <is>
          <t>Roles, seguridad y robustez. Implementar roles de usuario (cliente/interno) y reglas de seguridad de Firestore. Manejo de errores, reconexión de sensores y pérdida de datos. Validar la precisión del modelo ML contra los datos reales acumulados y pulir el panel predictivo en el dashboard.</t>
        </is>
      </c>
      <c r="F7" s="17" t="inlineStr">
        <is>
          <t>Reglas de seguridad + control de acceso por rol + manejo de desconexiones + modelo ML validado con datos reales</t>
        </is>
      </c>
      <c r="G7" s="17" t="inlineStr">
        <is>
          <t>Pruebas de estabilidad de la maqueta en jornadas prolongadas (esto también alimenta el histórico real)</t>
        </is>
      </c>
    </row>
    <row r="8">
      <c r="A8" s="8" t="inlineStr">
        <is>
          <t>Sprint 7</t>
        </is>
      </c>
      <c r="B8" s="9" t="n">
        <v>46342</v>
      </c>
      <c r="C8" s="9" t="n">
        <v>46355</v>
      </c>
      <c r="D8" s="12">
        <f>NETWORKDAYS(B8,C8)</f>
        <v/>
      </c>
      <c r="E8" s="13" t="inlineStr">
        <is>
          <t>Pruebas integrales y cierre técnico. Testing end-to-end, pruebas de carga con flujo continuo de datos, corrección de bugs, documentación técnica y de usuario, despliegue a ambiente estable. Pruebas de aceptación interna (UAT) y preparación del guion de demo, incluido el panel de ML predictivo.</t>
        </is>
      </c>
      <c r="F8" s="13" t="inlineStr">
        <is>
          <t>Ambiente de staging/producción estable y probado + MVP completo listo para UAT</t>
        </is>
      </c>
      <c r="G8" s="13" t="inlineStr">
        <is>
          <t>Ajustes finales de calibración, confiabilidad de sensores y preparación para transporte</t>
        </is>
      </c>
    </row>
    <row r="9">
      <c r="A9" s="14" t="inlineStr">
        <is>
          <t>Semana de cierre</t>
        </is>
      </c>
      <c r="B9" s="15" t="n">
        <v>46356</v>
      </c>
      <c r="C9" s="15" t="n">
        <v>46360</v>
      </c>
      <c r="D9" s="16">
        <f>NETWORKDAYS(B9,C9)</f>
        <v/>
      </c>
      <c r="E9" s="17" t="inlineStr">
        <is>
          <t>Semana de cierre y presentación. Buffer para imprevistos, corrección de bugs críticos de última hora, ensayo general con el equipo completo y presentación del MVP al cliente. Esta semana ya no tiene holgura extra: es el único colchón que queda si algo del cronograma se atrasó.</t>
        </is>
      </c>
      <c r="F9" s="17" t="inlineStr">
        <is>
          <t>Presentación del MVP al cliente (04-12-2026)</t>
        </is>
      </c>
      <c r="G9" s="17" t="inlineStr">
        <is>
          <t>Puesta a punto de la maqueta el día de la demo</t>
        </is>
      </c>
    </row>
    <row r="11">
      <c r="A11" s="2" t="inlineStr">
        <is>
          <t>Nota: 'Días hábiles' se calcula con NETWORKDAYS y no descuenta feriados chilenos; ajustar manualmente si corresponde.</t>
        </is>
      </c>
    </row>
    <row r="21" ht="15.75" customHeight="1" s="51"/>
    <row r="22" ht="15.75" customHeight="1" s="51"/>
    <row r="23" ht="15.75" customHeight="1" s="51"/>
    <row r="24" ht="15.75" customHeight="1" s="51"/>
    <row r="25" ht="15.75" customHeight="1" s="51"/>
    <row r="26" ht="15.75" customHeight="1" s="51"/>
    <row r="27" ht="15.75" customHeight="1" s="51"/>
    <row r="28" ht="15.75" customHeight="1" s="51"/>
    <row r="29" ht="15.75" customHeight="1" s="51"/>
    <row r="30" ht="15.75" customHeight="1" s="51"/>
    <row r="31" ht="15.75" customHeight="1" s="51"/>
    <row r="32" ht="15.75" customHeight="1" s="51"/>
    <row r="33" ht="15.75" customHeight="1" s="51"/>
    <row r="34" ht="15.75" customHeight="1" s="51"/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mergeCells count="1">
    <mergeCell ref="A11:G1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style="51" min="1" max="1"/>
    <col width="18" customWidth="1" style="51" min="2" max="2"/>
    <col width="52" customWidth="1" style="51" min="3" max="3"/>
    <col width="60" customWidth="1" style="51" min="4" max="4"/>
    <col width="10" customWidth="1" style="51" min="5" max="5"/>
    <col width="8" customWidth="1" style="51" min="6" max="6"/>
    <col width="8" customWidth="1" style="51" min="7" max="7"/>
    <col width="10" customWidth="1" style="51" min="8" max="8"/>
    <col width="9" customWidth="1" style="51" min="9" max="9"/>
    <col width="12" customWidth="1" style="51" min="10" max="10"/>
  </cols>
  <sheetData>
    <row r="1">
      <c r="A1" s="56" t="inlineStr">
        <is>
          <t>Product Backlog: historias de usuario (requisitos funcionales) y habilitadores</t>
        </is>
      </c>
    </row>
    <row r="2">
      <c r="A2" s="87" t="inlineStr">
        <is>
          <t>BORRADOR propuesto el 19-10-2026 a partir de las tareas del backlog; el equipo debe revisar redacción, criterios y prioridad. El avance se calcula desde las tareas vinculadas (columna 'Historia (ID)' del backlog).</t>
        </is>
      </c>
    </row>
    <row r="4">
      <c r="A4" s="88" t="inlineStr">
        <is>
          <t>ID</t>
        </is>
      </c>
      <c r="B4" s="88" t="inlineStr">
        <is>
          <t>Tipo</t>
        </is>
      </c>
      <c r="C4" s="88" t="inlineStr">
        <is>
          <t>Historia de usuario / descripción</t>
        </is>
      </c>
      <c r="D4" s="88" t="inlineStr">
        <is>
          <t>Criterios de aceptación</t>
        </is>
      </c>
      <c r="E4" s="88" t="inlineStr">
        <is>
          <t>Prioridad</t>
        </is>
      </c>
      <c r="F4" s="88" t="inlineStr">
        <is>
          <t>Tareas</t>
        </is>
      </c>
      <c r="G4" s="88" t="inlineStr">
        <is>
          <t>Hechas</t>
        </is>
      </c>
      <c r="H4" s="88" t="inlineStr">
        <is>
          <t>En proceso</t>
        </is>
      </c>
      <c r="I4" s="88" t="inlineStr">
        <is>
          <t>Avance</t>
        </is>
      </c>
      <c r="J4" s="88" t="inlineStr">
        <is>
          <t>Estado</t>
        </is>
      </c>
    </row>
    <row r="5">
      <c r="A5" s="89" t="inlineStr">
        <is>
          <t>HU-01</t>
        </is>
      </c>
      <c r="B5" s="90" t="inlineStr">
        <is>
          <t>Historia de usuario</t>
        </is>
      </c>
      <c r="C5" s="91" t="inlineStr">
        <is>
          <t>Como operador, quiero ver en tiempo real el pH, la conductividad y la temperatura del ciclo en curso, para saber cómo avanza la limpieza.</t>
        </is>
      </c>
      <c r="D5" s="91" t="inlineStr">
        <is>
          <t>1) Cada lectura nueva aparece en el dashboard sin recargar la página. 2) Cada tarjeta muestra valor, unidad y hora de la lectura. 3) Si una sonda no reporta o está saturada, la tarjeta lo indica en vez de mostrar un valor.</t>
        </is>
      </c>
      <c r="E5" s="92" t="inlineStr">
        <is>
          <t>Alta</t>
        </is>
      </c>
      <c r="F5" s="92">
        <f>COUNTIF('Backlog por Sprint'!$R$2:$R$71,A5)</f>
        <v/>
      </c>
      <c r="G5" s="92">
        <f>COUNTIFS('Backlog por Sprint'!$R$2:$R$71,A5,'Backlog por Sprint'!$G$2:$G$71,"Hecho")</f>
        <v/>
      </c>
      <c r="H5" s="92">
        <f>COUNTIFS('Backlog por Sprint'!$R$2:$R$71,A5,'Backlog por Sprint'!$G$2:$G$71,"En proceso")</f>
        <v/>
      </c>
      <c r="I5" s="93">
        <f>IF(F5=0,0,G5/F5)</f>
        <v/>
      </c>
      <c r="J5" s="92">
        <f>IF(F5=0,"Sin tareas",IF(G5=F5,"Hecha",IF(G5+H5&gt;0,"En proceso","Por hacer")))</f>
        <v/>
      </c>
    </row>
    <row r="6">
      <c r="A6" s="89" t="inlineStr">
        <is>
          <t>HU-02</t>
        </is>
      </c>
      <c r="B6" s="90" t="inlineStr">
        <is>
          <t>Historia de usuario</t>
        </is>
      </c>
      <c r="C6" s="91" t="inlineStr">
        <is>
          <t>Como operador, quiero ver en qué etapa del CIP está el ciclo y cuánto tiempo lleva, para coordinar la operación.</t>
        </is>
      </c>
      <c r="D6" s="91" t="inlineStr">
        <is>
          <t>1) La barra muestra las etapas en orden y marca la actual. 2) Se ve el tiempo transcurrido de la etapa. 3) Las etapas fuera del alcance de las sondas se señalan como no monitoreadas.</t>
        </is>
      </c>
      <c r="E6" s="92" t="inlineStr">
        <is>
          <t>Media</t>
        </is>
      </c>
      <c r="F6" s="92">
        <f>COUNTIF('Backlog por Sprint'!$R$2:$R$71,A6)</f>
        <v/>
      </c>
      <c r="G6" s="92">
        <f>COUNTIFS('Backlog por Sprint'!$R$2:$R$71,A6,'Backlog por Sprint'!$G$2:$G$71,"Hecho")</f>
        <v/>
      </c>
      <c r="H6" s="92">
        <f>COUNTIFS('Backlog por Sprint'!$R$2:$R$71,A6,'Backlog por Sprint'!$G$2:$G$71,"En proceso")</f>
        <v/>
      </c>
      <c r="I6" s="93">
        <f>IF(F6=0,0,G6/F6)</f>
        <v/>
      </c>
      <c r="J6" s="92">
        <f>IF(F6=0,"Sin tareas",IF(G6=F6,"Hecha",IF(G6+H6&gt;0,"En proceso","Por hacer")))</f>
        <v/>
      </c>
    </row>
    <row r="7">
      <c r="A7" s="89" t="inlineStr">
        <is>
          <t>HU-03</t>
        </is>
      </c>
      <c r="B7" s="90" t="inlineStr">
        <is>
          <t>Historia de usuario</t>
        </is>
      </c>
      <c r="C7" s="91" t="inlineStr">
        <is>
          <t>Como operador, quiero recibir una alerta cuando una variable sale del rango de la etapa, para corregir a tiempo.</t>
        </is>
      </c>
      <c r="D7" s="91" t="inlineStr">
        <is>
          <t>1) Una lectura fuera del umbral de su etapa crea una alerta con variable, valor, rango y hora. 2) Si la red reintenta el mismo mensaje no se duplica la alerta. 3) El historial de alertas queda visible en el dashboard.</t>
        </is>
      </c>
      <c r="E7" s="92" t="inlineStr">
        <is>
          <t>Alta</t>
        </is>
      </c>
      <c r="F7" s="92">
        <f>COUNTIF('Backlog por Sprint'!$R$2:$R$71,A7)</f>
        <v/>
      </c>
      <c r="G7" s="92">
        <f>COUNTIFS('Backlog por Sprint'!$R$2:$R$71,A7,'Backlog por Sprint'!$G$2:$G$71,"Hecho")</f>
        <v/>
      </c>
      <c r="H7" s="92">
        <f>COUNTIFS('Backlog por Sprint'!$R$2:$R$71,A7,'Backlog por Sprint'!$G$2:$G$71,"En proceso")</f>
        <v/>
      </c>
      <c r="I7" s="93">
        <f>IF(F7=0,0,G7/F7)</f>
        <v/>
      </c>
      <c r="J7" s="92">
        <f>IF(F7=0,"Sin tareas",IF(G7=F7,"Hecha",IF(G7+H7&gt;0,"En proceso","Por hacer")))</f>
        <v/>
      </c>
    </row>
    <row r="8">
      <c r="A8" s="89" t="inlineStr">
        <is>
          <t>HU-04</t>
        </is>
      </c>
      <c r="B8" s="90" t="inlineStr">
        <is>
          <t>Historia de usuario</t>
        </is>
      </c>
      <c r="C8" s="91" t="inlineStr">
        <is>
          <t>Como jefe de producción, quiero ver el historial de las últimas 24 horas y 7 días por variable, para comparar ciclos.</t>
        </is>
      </c>
      <c r="D8" s="91" t="inlineStr">
        <is>
          <t>1) Se puede elegir la variable y el período (24 h o 7 días). 2) El gráfico muestra las lecturas de todos los ciclos del período. 3) Funciona con el índice de lecturas desplegado.</t>
        </is>
      </c>
      <c r="E8" s="92" t="inlineStr">
        <is>
          <t>Media</t>
        </is>
      </c>
      <c r="F8" s="92">
        <f>COUNTIF('Backlog por Sprint'!$R$2:$R$71,A8)</f>
        <v/>
      </c>
      <c r="G8" s="92">
        <f>COUNTIFS('Backlog por Sprint'!$R$2:$R$71,A8,'Backlog por Sprint'!$G$2:$G$71,"Hecho")</f>
        <v/>
      </c>
      <c r="H8" s="92">
        <f>COUNTIFS('Backlog por Sprint'!$R$2:$R$71,A8,'Backlog por Sprint'!$G$2:$G$71,"En proceso")</f>
        <v/>
      </c>
      <c r="I8" s="93">
        <f>IF(F8=0,0,G8/F8)</f>
        <v/>
      </c>
      <c r="J8" s="92">
        <f>IF(F8=0,"Sin tareas",IF(G8=F8,"Hecha",IF(G8+H8&gt;0,"En proceso","Por hacer")))</f>
        <v/>
      </c>
    </row>
    <row r="9">
      <c r="A9" s="89" t="inlineStr">
        <is>
          <t>HU-05</t>
        </is>
      </c>
      <c r="B9" s="90" t="inlineStr">
        <is>
          <t>Historia de usuario</t>
        </is>
      </c>
      <c r="C9" s="91" t="inlineStr">
        <is>
          <t>Como jefe de producción, quiero ver el consumo de agua y de químicos de cada ciclo, para optimizar recursos.</t>
        </is>
      </c>
      <c r="D9" s="91" t="inlineStr">
        <is>
          <t>1) El consumo de agua se calcula desde el flujómetro cuando existe. 2) Si el valor es estimado (caudal nominal) se marca como estimado. 3) Se ve el total por ciclo y su tendencia.</t>
        </is>
      </c>
      <c r="E9" s="92" t="inlineStr">
        <is>
          <t>Media</t>
        </is>
      </c>
      <c r="F9" s="92">
        <f>COUNTIF('Backlog por Sprint'!$R$2:$R$71,A9)</f>
        <v/>
      </c>
      <c r="G9" s="92">
        <f>COUNTIFS('Backlog por Sprint'!$R$2:$R$71,A9,'Backlog por Sprint'!$G$2:$G$71,"Hecho")</f>
        <v/>
      </c>
      <c r="H9" s="92">
        <f>COUNTIFS('Backlog por Sprint'!$R$2:$R$71,A9,'Backlog por Sprint'!$G$2:$G$71,"En proceso")</f>
        <v/>
      </c>
      <c r="I9" s="93">
        <f>IF(F9=0,0,G9/F9)</f>
        <v/>
      </c>
      <c r="J9" s="92">
        <f>IF(F9=0,"Sin tareas",IF(G9=F9,"Hecha",IF(G9+H9&gt;0,"En proceso","Por hacer")))</f>
        <v/>
      </c>
    </row>
    <row r="10">
      <c r="A10" s="89" t="inlineStr">
        <is>
          <t>HU-06</t>
        </is>
      </c>
      <c r="B10" s="90" t="inlineStr">
        <is>
          <t>Historia de usuario</t>
        </is>
      </c>
      <c r="C10" s="91" t="inlineStr">
        <is>
          <t>Como jefe de producción, quiero ver indicadores al cerrar un ciclo, para evaluar si la limpieza fue eficiente.</t>
        </is>
      </c>
      <c r="D10" s="91" t="inlineStr">
        <is>
          <t>1) Al finalizar un ciclo se calculan tiempo hasta agua limpia, arrastre químico, pendiente de conductividad y volumen. 2) Cada indicador muestra su método y si es medido o estimado. 3) Un ciclo sin datos útiles explica el motivo.</t>
        </is>
      </c>
      <c r="E10" s="92" t="inlineStr">
        <is>
          <t>Alta</t>
        </is>
      </c>
      <c r="F10" s="92">
        <f>COUNTIF('Backlog por Sprint'!$R$2:$R$71,A10)</f>
        <v/>
      </c>
      <c r="G10" s="92">
        <f>COUNTIFS('Backlog por Sprint'!$R$2:$R$71,A10,'Backlog por Sprint'!$G$2:$G$71,"Hecho")</f>
        <v/>
      </c>
      <c r="H10" s="92">
        <f>COUNTIFS('Backlog por Sprint'!$R$2:$R$71,A10,'Backlog por Sprint'!$G$2:$G$71,"En proceso")</f>
        <v/>
      </c>
      <c r="I10" s="93">
        <f>IF(F10=0,0,G10/F10)</f>
        <v/>
      </c>
      <c r="J10" s="92">
        <f>IF(F10=0,"Sin tareas",IF(G10=F10,"Hecha",IF(G10+H10&gt;0,"En proceso","Por hacer")))</f>
        <v/>
      </c>
    </row>
    <row r="11">
      <c r="A11" s="89" t="inlineStr">
        <is>
          <t>HU-07</t>
        </is>
      </c>
      <c r="B11" s="90" t="inlineStr">
        <is>
          <t>Historia de usuario</t>
        </is>
      </c>
      <c r="C11" s="91" t="inlineStr">
        <is>
          <t>Como jefe de producción, quiero una proyección de cuándo quedará limpio el enjuague y avisos de tendencias anómalas, para anticipar problemas.</t>
        </is>
      </c>
      <c r="D11" s="91" t="inlineStr">
        <is>
          <t>1) El dashboard muestra una proyección en minutos con su nivel de confianza. 2) Se avisa cuando una variable tiende a salir de rango. 3) El modelo se valida contra datos reales de la maqueta antes de la demo.</t>
        </is>
      </c>
      <c r="E11" s="92" t="inlineStr">
        <is>
          <t>Alta</t>
        </is>
      </c>
      <c r="F11" s="92">
        <f>COUNTIF('Backlog por Sprint'!$R$2:$R$71,A11)</f>
        <v/>
      </c>
      <c r="G11" s="92">
        <f>COUNTIFS('Backlog por Sprint'!$R$2:$R$71,A11,'Backlog por Sprint'!$G$2:$G$71,"Hecho")</f>
        <v/>
      </c>
      <c r="H11" s="92">
        <f>COUNTIFS('Backlog por Sprint'!$R$2:$R$71,A11,'Backlog por Sprint'!$G$2:$G$71,"En proceso")</f>
        <v/>
      </c>
      <c r="I11" s="93">
        <f>IF(F11=0,0,G11/F11)</f>
        <v/>
      </c>
      <c r="J11" s="92">
        <f>IF(F11=0,"Sin tareas",IF(G11=F11,"Hecha",IF(G11+H11&gt;0,"En proceso","Por hacer")))</f>
        <v/>
      </c>
    </row>
    <row r="12">
      <c r="A12" s="89" t="inlineStr">
        <is>
          <t>HU-08</t>
        </is>
      </c>
      <c r="B12" s="90" t="inlineStr">
        <is>
          <t>Historia de usuario</t>
        </is>
      </c>
      <c r="C12" s="91" t="inlineStr">
        <is>
          <t>Como usuario, quiero iniciar sesión y ver solo lo que mi rol permite, para proteger la información de la planta.</t>
        </is>
      </c>
      <c r="D12" s="91" t="inlineStr">
        <is>
          <t>1) Sin sesión no se accede al dashboard. 2) Admin, operador y visor ven y modifican solo lo que su rol permite, también a nivel de base de datos. 3) Las reglas se prueban con tests automáticos.</t>
        </is>
      </c>
      <c r="E12" s="92" t="inlineStr">
        <is>
          <t>Alta</t>
        </is>
      </c>
      <c r="F12" s="92">
        <f>COUNTIF('Backlog por Sprint'!$R$2:$R$71,A12)</f>
        <v/>
      </c>
      <c r="G12" s="92">
        <f>COUNTIFS('Backlog por Sprint'!$R$2:$R$71,A12,'Backlog por Sprint'!$G$2:$G$71,"Hecho")</f>
        <v/>
      </c>
      <c r="H12" s="92">
        <f>COUNTIFS('Backlog por Sprint'!$R$2:$R$71,A12,'Backlog por Sprint'!$G$2:$G$71,"En proceso")</f>
        <v/>
      </c>
      <c r="I12" s="93">
        <f>IF(F12=0,0,G12/F12)</f>
        <v/>
      </c>
      <c r="J12" s="92">
        <f>IF(F12=0,"Sin tareas",IF(G12=F12,"Hecha",IF(G12+H12&gt;0,"En proceso","Por hacer")))</f>
        <v/>
      </c>
    </row>
    <row r="13">
      <c r="A13" s="89" t="inlineStr">
        <is>
          <t>HU-09</t>
        </is>
      </c>
      <c r="B13" s="90" t="inlineStr">
        <is>
          <t>Historia de usuario</t>
        </is>
      </c>
      <c r="C13" s="91" t="inlineStr">
        <is>
          <t>Como administrador, quiero asignar roles a los usuarios, para controlar quién accede a qué.</t>
        </is>
      </c>
      <c r="D13" s="91" t="inlineStr">
        <is>
          <t>1) Solo un admin puede cambiar un rol. 2) Un usuario nuevo parte como visor. 3) El cambio se refleja al volver a iniciar sesión.</t>
        </is>
      </c>
      <c r="E13" s="92" t="inlineStr">
        <is>
          <t>Media</t>
        </is>
      </c>
      <c r="F13" s="92">
        <f>COUNTIF('Backlog por Sprint'!$R$2:$R$71,A13)</f>
        <v/>
      </c>
      <c r="G13" s="92">
        <f>COUNTIFS('Backlog por Sprint'!$R$2:$R$71,A13,'Backlog por Sprint'!$G$2:$G$71,"Hecho")</f>
        <v/>
      </c>
      <c r="H13" s="92">
        <f>COUNTIFS('Backlog por Sprint'!$R$2:$R$71,A13,'Backlog por Sprint'!$G$2:$G$71,"En proceso")</f>
        <v/>
      </c>
      <c r="I13" s="93">
        <f>IF(F13=0,0,G13/F13)</f>
        <v/>
      </c>
      <c r="J13" s="92">
        <f>IF(F13=0,"Sin tareas",IF(G13=F13,"Hecha",IF(G13+H13&gt;0,"En proceso","Por hacer")))</f>
        <v/>
      </c>
    </row>
    <row r="14">
      <c r="A14" s="89" t="inlineStr">
        <is>
          <t>HU-10</t>
        </is>
      </c>
      <c r="B14" s="90" t="inlineStr">
        <is>
          <t>Historia de usuario</t>
        </is>
      </c>
      <c r="C14" s="91" t="inlineStr">
        <is>
          <t>Como administrador, quiero ver el estado de cada equipo (firmware, batería y última señal), para detectar sensores con problemas.</t>
        </is>
      </c>
      <c r="D14" s="91" t="inlineStr">
        <is>
          <t>1) Se ve el firmware registrado y el reportado por el equipo. 2) Se ve la batería y la hora de la última señal y de la última medición. 3) Se avisa si un equipo deja de medir durante un ciclo.</t>
        </is>
      </c>
      <c r="E14" s="92" t="inlineStr">
        <is>
          <t>Baja</t>
        </is>
      </c>
      <c r="F14" s="92">
        <f>COUNTIF('Backlog por Sprint'!$R$2:$R$71,A14)</f>
        <v/>
      </c>
      <c r="G14" s="92">
        <f>COUNTIFS('Backlog por Sprint'!$R$2:$R$71,A14,'Backlog por Sprint'!$G$2:$G$71,"Hecho")</f>
        <v/>
      </c>
      <c r="H14" s="92">
        <f>COUNTIFS('Backlog por Sprint'!$R$2:$R$71,A14,'Backlog por Sprint'!$G$2:$G$71,"En proceso")</f>
        <v/>
      </c>
      <c r="I14" s="93">
        <f>IF(F14=0,0,G14/F14)</f>
        <v/>
      </c>
      <c r="J14" s="92">
        <f>IF(F14=0,"Sin tareas",IF(G14=F14,"Hecha",IF(G14+H14&gt;0,"En proceso","Por hacer")))</f>
        <v/>
      </c>
    </row>
    <row r="15">
      <c r="A15" s="89" t="inlineStr">
        <is>
          <t>HU-11</t>
        </is>
      </c>
      <c r="B15" s="90" t="inlineStr">
        <is>
          <t>Historia de usuario</t>
        </is>
      </c>
      <c r="C15" s="91" t="inlineStr">
        <is>
          <t>Como equipo del proyecto, quiero simular un ciclo CIP completo y controlarlo desde el dashboard, para demostrar y probar el sistema sin sensores.</t>
        </is>
      </c>
      <c r="D15" s="91" t="inlineStr">
        <is>
          <t>1) El simulador recorre todas las etapas con valores realistas. 2) Se inicia y detiene desde un botón del dashboard. 3) Nunca escribe en producción sin indicarlo de forma explícita.</t>
        </is>
      </c>
      <c r="E15" s="92" t="inlineStr">
        <is>
          <t>Media</t>
        </is>
      </c>
      <c r="F15" s="92">
        <f>COUNTIF('Backlog por Sprint'!$R$2:$R$71,A15)</f>
        <v/>
      </c>
      <c r="G15" s="92">
        <f>COUNTIFS('Backlog por Sprint'!$R$2:$R$71,A15,'Backlog por Sprint'!$G$2:$G$71,"Hecho")</f>
        <v/>
      </c>
      <c r="H15" s="92">
        <f>COUNTIFS('Backlog por Sprint'!$R$2:$R$71,A15,'Backlog por Sprint'!$G$2:$G$71,"En proceso")</f>
        <v/>
      </c>
      <c r="I15" s="93">
        <f>IF(F15=0,0,G15/F15)</f>
        <v/>
      </c>
      <c r="J15" s="92">
        <f>IF(F15=0,"Sin tareas",IF(G15=F15,"Hecha",IF(G15+H15&gt;0,"En proceso","Por hacer")))</f>
        <v/>
      </c>
    </row>
    <row r="16">
      <c r="A16" s="89" t="inlineStr">
        <is>
          <t>HU-12</t>
        </is>
      </c>
      <c r="B16" s="90" t="inlineStr">
        <is>
          <t>Historia de usuario</t>
        </is>
      </c>
      <c r="C16" s="91" t="inlineStr">
        <is>
          <t>Como operador, quiero que las lecturas de los sensores lleguen solas desde la planta, para no registrar datos a mano.</t>
        </is>
      </c>
      <c r="D16" s="91" t="inlineStr">
        <is>
          <t>1) Un uplink del WQS-LB se decodifica y se guarda en el ciclo en curso. 2) Payloads inválidos o de firmware no soportado se rechazan sin perder el dato crudo. 3) Se prueba con un sensor real de la maqueta.</t>
        </is>
      </c>
      <c r="E16" s="92" t="inlineStr">
        <is>
          <t>Alta</t>
        </is>
      </c>
      <c r="F16" s="92">
        <f>COUNTIF('Backlog por Sprint'!$R$2:$R$71,A16)</f>
        <v/>
      </c>
      <c r="G16" s="92">
        <f>COUNTIFS('Backlog por Sprint'!$R$2:$R$71,A16,'Backlog por Sprint'!$G$2:$G$71,"Hecho")</f>
        <v/>
      </c>
      <c r="H16" s="92">
        <f>COUNTIFS('Backlog por Sprint'!$R$2:$R$71,A16,'Backlog por Sprint'!$G$2:$G$71,"En proceso")</f>
        <v/>
      </c>
      <c r="I16" s="93">
        <f>IF(F16=0,0,G16/F16)</f>
        <v/>
      </c>
      <c r="J16" s="92">
        <f>IF(F16=0,"Sin tareas",IF(G16=F16,"Hecha",IF(G16+H16&gt;0,"En proceso","Por hacer")))</f>
        <v/>
      </c>
    </row>
    <row r="17">
      <c r="A17" s="94" t="inlineStr">
        <is>
          <t>HT-01</t>
        </is>
      </c>
      <c r="B17" s="95" t="inlineStr">
        <is>
          <t>Habilitador técnico</t>
        </is>
      </c>
      <c r="C17" s="91" t="inlineStr">
        <is>
          <t>Infraestructura en la nube: proyecto Firebase/GCP, secretos y despliegue a producción.</t>
        </is>
      </c>
      <c r="D17" s="91" t="inlineStr">
        <is>
          <t>Proyecto creado, funciones y web desplegadas, secretos en Secret Manager y guía de despliegue escrita.</t>
        </is>
      </c>
      <c r="E17" s="92" t="inlineStr">
        <is>
          <t>Alta</t>
        </is>
      </c>
      <c r="F17" s="92">
        <f>COUNTIF('Backlog por Sprint'!$R$2:$R$71,A17)</f>
        <v/>
      </c>
      <c r="G17" s="92">
        <f>COUNTIFS('Backlog por Sprint'!$R$2:$R$71,A17,'Backlog por Sprint'!$G$2:$G$71,"Hecho")</f>
        <v/>
      </c>
      <c r="H17" s="92">
        <f>COUNTIFS('Backlog por Sprint'!$R$2:$R$71,A17,'Backlog por Sprint'!$G$2:$G$71,"En proceso")</f>
        <v/>
      </c>
      <c r="I17" s="93">
        <f>IF(F17=0,0,G17/F17)</f>
        <v/>
      </c>
      <c r="J17" s="92">
        <f>IF(F17=0,"Sin tareas",IF(G17=F17,"Hecha",IF(G17+H17&gt;0,"En proceso","Por hacer")))</f>
        <v/>
      </c>
    </row>
    <row r="18">
      <c r="A18" s="94" t="inlineStr">
        <is>
          <t>HT-02</t>
        </is>
      </c>
      <c r="B18" s="95" t="inlineStr">
        <is>
          <t>Habilitador técnico</t>
        </is>
      </c>
      <c r="C18" s="91" t="inlineStr">
        <is>
          <t>Modelo de datos de Firestore y de las sondas.</t>
        </is>
      </c>
      <c r="D18" s="91" t="inlineStr">
        <is>
          <t>Colecciones, campos y validaciones documentados y usados por el código.</t>
        </is>
      </c>
      <c r="E18" s="92" t="inlineStr">
        <is>
          <t>Alta</t>
        </is>
      </c>
      <c r="F18" s="92">
        <f>COUNTIF('Backlog por Sprint'!$R$2:$R$71,A18)</f>
        <v/>
      </c>
      <c r="G18" s="92">
        <f>COUNTIFS('Backlog por Sprint'!$R$2:$R$71,A18,'Backlog por Sprint'!$G$2:$G$71,"Hecho")</f>
        <v/>
      </c>
      <c r="H18" s="92">
        <f>COUNTIFS('Backlog por Sprint'!$R$2:$R$71,A18,'Backlog por Sprint'!$G$2:$G$71,"En proceso")</f>
        <v/>
      </c>
      <c r="I18" s="93">
        <f>IF(F18=0,0,G18/F18)</f>
        <v/>
      </c>
      <c r="J18" s="92">
        <f>IF(F18=0,"Sin tareas",IF(G18=F18,"Hecha",IF(G18+H18&gt;0,"En proceso","Por hacer")))</f>
        <v/>
      </c>
    </row>
    <row r="19">
      <c r="A19" s="94" t="inlineStr">
        <is>
          <t>HT-03</t>
        </is>
      </c>
      <c r="B19" s="95" t="inlineStr">
        <is>
          <t>Habilitador técnico</t>
        </is>
      </c>
      <c r="C19" s="91" t="inlineStr">
        <is>
          <t>Maqueta y sensores: compra, armado, montaje, calibración y transporte.</t>
        </is>
      </c>
      <c r="D19" s="91" t="inlineStr">
        <is>
          <t>Maqueta funcionando con las sondas instaladas y calibradas, lista para la demo.</t>
        </is>
      </c>
      <c r="E19" s="92" t="inlineStr">
        <is>
          <t>Alta</t>
        </is>
      </c>
      <c r="F19" s="92">
        <f>COUNTIF('Backlog por Sprint'!$R$2:$R$71,A19)</f>
        <v/>
      </c>
      <c r="G19" s="92">
        <f>COUNTIFS('Backlog por Sprint'!$R$2:$R$71,A19,'Backlog por Sprint'!$G$2:$G$71,"Hecho")</f>
        <v/>
      </c>
      <c r="H19" s="92">
        <f>COUNTIFS('Backlog por Sprint'!$R$2:$R$71,A19,'Backlog por Sprint'!$G$2:$G$71,"En proceso")</f>
        <v/>
      </c>
      <c r="I19" s="93">
        <f>IF(F19=0,0,G19/F19)</f>
        <v/>
      </c>
      <c r="J19" s="92">
        <f>IF(F19=0,"Sin tareas",IF(G19=F19,"Hecha",IF(G19+H19&gt;0,"En proceso","Por hacer")))</f>
        <v/>
      </c>
    </row>
    <row r="20">
      <c r="A20" s="94" t="inlineStr">
        <is>
          <t>HT-04</t>
        </is>
      </c>
      <c r="B20" s="95" t="inlineStr">
        <is>
          <t>Habilitador técnico</t>
        </is>
      </c>
      <c r="C20" s="91" t="inlineStr">
        <is>
          <t>Calidad: pruebas automatizadas, integrales, de carga, UAT y corrección de errores.</t>
        </is>
      </c>
      <c r="D20" s="91" t="inlineStr">
        <is>
          <t>Plan de pruebas con evidencia por sprint y UAT aprobada.</t>
        </is>
      </c>
      <c r="E20" s="92" t="inlineStr">
        <is>
          <t>Alta</t>
        </is>
      </c>
      <c r="F20" s="92">
        <f>COUNTIF('Backlog por Sprint'!$R$2:$R$71,A20)</f>
        <v/>
      </c>
      <c r="G20" s="92">
        <f>COUNTIFS('Backlog por Sprint'!$R$2:$R$71,A20,'Backlog por Sprint'!$G$2:$G$71,"Hecho")</f>
        <v/>
      </c>
      <c r="H20" s="92">
        <f>COUNTIFS('Backlog por Sprint'!$R$2:$R$71,A20,'Backlog por Sprint'!$G$2:$G$71,"En proceso")</f>
        <v/>
      </c>
      <c r="I20" s="93">
        <f>IF(F20=0,0,G20/F20)</f>
        <v/>
      </c>
      <c r="J20" s="92">
        <f>IF(F20=0,"Sin tareas",IF(G20=F20,"Hecha",IF(G20+H20&gt;0,"En proceso","Por hacer")))</f>
        <v/>
      </c>
    </row>
    <row r="21">
      <c r="A21" s="94" t="inlineStr">
        <is>
          <t>HT-05</t>
        </is>
      </c>
      <c r="B21" s="95" t="inlineStr">
        <is>
          <t>Habilitador técnico</t>
        </is>
      </c>
      <c r="C21" s="91" t="inlineStr">
        <is>
          <t>Documentación técnica y de usuario.</t>
        </is>
      </c>
      <c r="D21" s="91" t="inlineStr">
        <is>
          <t>Documentos al día con lo comprado y lo construido; manual de usuario entregado.</t>
        </is>
      </c>
      <c r="E21" s="92" t="inlineStr">
        <is>
          <t>Media</t>
        </is>
      </c>
      <c r="F21" s="92">
        <f>COUNTIF('Backlog por Sprint'!$R$2:$R$71,A21)</f>
        <v/>
      </c>
      <c r="G21" s="92">
        <f>COUNTIFS('Backlog por Sprint'!$R$2:$R$71,A21,'Backlog por Sprint'!$G$2:$G$71,"Hecho")</f>
        <v/>
      </c>
      <c r="H21" s="92">
        <f>COUNTIFS('Backlog por Sprint'!$R$2:$R$71,A21,'Backlog por Sprint'!$G$2:$G$71,"En proceso")</f>
        <v/>
      </c>
      <c r="I21" s="93">
        <f>IF(F21=0,0,G21/F21)</f>
        <v/>
      </c>
      <c r="J21" s="92">
        <f>IF(F21=0,"Sin tareas",IF(G21=F21,"Hecha",IF(G21+H21&gt;0,"En proceso","Por hacer")))</f>
        <v/>
      </c>
    </row>
    <row r="22">
      <c r="A22" s="96" t="inlineStr">
        <is>
          <t>GE-01</t>
        </is>
      </c>
      <c r="B22" s="97" t="inlineStr">
        <is>
          <t>Gestión del proyecto</t>
        </is>
      </c>
      <c r="C22" s="91" t="inlineStr">
        <is>
          <t>Requerimientos, backlog, guion y presentación del MVP al cliente.</t>
        </is>
      </c>
      <c r="D22" s="91" t="inlineStr">
        <is>
          <t>Requerimientos validados con el cliente y demo presentada el 04-12-2026.</t>
        </is>
      </c>
      <c r="E22" s="92" t="inlineStr">
        <is>
          <t>Alta</t>
        </is>
      </c>
      <c r="F22" s="92">
        <f>COUNTIF('Backlog por Sprint'!$R$2:$R$71,A22)</f>
        <v/>
      </c>
      <c r="G22" s="92">
        <f>COUNTIFS('Backlog por Sprint'!$R$2:$R$71,A22,'Backlog por Sprint'!$G$2:$G$71,"Hecho")</f>
        <v/>
      </c>
      <c r="H22" s="92">
        <f>COUNTIFS('Backlog por Sprint'!$R$2:$R$71,A22,'Backlog por Sprint'!$G$2:$G$71,"En proceso")</f>
        <v/>
      </c>
      <c r="I22" s="93">
        <f>IF(F22=0,0,G22/F22)</f>
        <v/>
      </c>
      <c r="J22" s="92">
        <f>IF(F22=0,"Sin tareas",IF(G22=F22,"Hecha",IF(G22+H22&gt;0,"En proceso","Por hacer")))</f>
        <v/>
      </c>
    </row>
    <row r="23">
      <c r="C23" s="61" t="inlineStr">
        <is>
          <t>Total de tareas vinculadas</t>
        </is>
      </c>
      <c r="F23" s="61">
        <f>SUM(F5:F22)</f>
        <v/>
      </c>
      <c r="G23" s="61">
        <f>SUM(G5:G22)</f>
        <v/>
      </c>
      <c r="H23" s="61">
        <f>SUM(H5:H22)</f>
        <v/>
      </c>
    </row>
    <row r="25">
      <c r="A25" s="86" t="inlineStr">
        <is>
          <t>Cómo leer esta hoja:</t>
        </is>
      </c>
    </row>
    <row r="26">
      <c r="A26" s="87" t="inlineStr">
        <is>
          <t>• HU = historia de usuario: un requisito funcional escrito como 'Como &lt;rol&gt;, quiero &lt;qué&gt;, para &lt;para qué&gt;'.</t>
        </is>
      </c>
    </row>
    <row r="27">
      <c r="A27" s="87" t="inlineStr">
        <is>
          <t>• HT = habilitador técnico: trabajo necesario que no entrega valor directo a un usuario (infraestructura, datos, calidad).</t>
        </is>
      </c>
    </row>
    <row r="28">
      <c r="A28" s="87" t="inlineStr">
        <is>
          <t>• GE = gestión del proyecto. Los requisitos no funcionales están en la hoja 'Requisitos no funcionales'.</t>
        </is>
      </c>
    </row>
    <row r="29">
      <c r="A29" s="87" t="inlineStr">
        <is>
          <t>• El total de tareas vinculadas debe ser 70 (todas las del backlog).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style="51" min="1" max="1"/>
    <col width="20" customWidth="1" style="51" min="2" max="2"/>
    <col width="60" customWidth="1" style="51" min="3" max="3"/>
    <col width="42" customWidth="1" style="51" min="4" max="4"/>
    <col width="46" customWidth="1" style="51" min="5" max="5"/>
  </cols>
  <sheetData>
    <row r="1">
      <c r="A1" s="56" t="inlineStr">
        <is>
          <t>Requisitos no funcionales</t>
        </is>
      </c>
    </row>
    <row r="2">
      <c r="A2" s="87" t="inlineStr">
        <is>
          <t>BORRADOR propuesto el 19-10-2026. Los valores objetivo de rendimiento y carga están por definir con el equipo y el cliente.</t>
        </is>
      </c>
    </row>
    <row r="4">
      <c r="A4" s="88" t="inlineStr">
        <is>
          <t>ID</t>
        </is>
      </c>
      <c r="B4" s="88" t="inlineStr">
        <is>
          <t>Categoría</t>
        </is>
      </c>
      <c r="C4" s="88" t="inlineStr">
        <is>
          <t>Requisito</t>
        </is>
      </c>
      <c r="D4" s="88" t="inlineStr">
        <is>
          <t>Cómo se verifica</t>
        </is>
      </c>
      <c r="E4" s="88" t="inlineStr">
        <is>
          <t>Estado actual (evidencia)</t>
        </is>
      </c>
    </row>
    <row r="5">
      <c r="A5" s="98" t="inlineStr">
        <is>
          <t>RNF-01</t>
        </is>
      </c>
      <c r="B5" s="91" t="inlineStr">
        <is>
          <t>Seguridad</t>
        </is>
      </c>
      <c r="C5" s="91" t="inlineStr">
        <is>
          <t>Solo usuarios autenticados acceden al sistema y cada rol (admin, operador, visor) ve y modifica solo lo que le corresponde, también a nivel de base de datos.</t>
        </is>
      </c>
      <c r="D5" s="91" t="inlineStr">
        <is>
          <t>Tests de reglas de Firestore (functions/reglas) y prueba manual por rol.</t>
        </is>
      </c>
      <c r="E5" s="91" t="inlineStr">
        <is>
          <t>Parcial: reglas y tests existen; falta limitar qué campos puede escribir el operador.</t>
        </is>
      </c>
    </row>
    <row r="6">
      <c r="A6" s="98" t="inlineStr">
        <is>
          <t>RNF-02</t>
        </is>
      </c>
      <c r="B6" s="91" t="inlineStr">
        <is>
          <t>Seguridad</t>
        </is>
      </c>
      <c r="C6" s="91" t="inlineStr">
        <is>
          <t>Los secretos (clave del webhook, credenciales) nunca se guardan en el código ni en el repositorio.</t>
        </is>
      </c>
      <c r="D6" s="91" t="inlineStr">
        <is>
          <t>Revisión del repositorio y uso de Secret Manager.</t>
        </is>
      </c>
      <c r="E6" s="91" t="inlineStr">
        <is>
          <t>Cumple: TTN_WEBHOOK_SECRET en Secret Manager; .secret.local y .env.local fuera de git.</t>
        </is>
      </c>
    </row>
    <row r="7">
      <c r="A7" s="98" t="inlineStr">
        <is>
          <t>RNF-03</t>
        </is>
      </c>
      <c r="B7" s="91" t="inlineStr">
        <is>
          <t>Seguridad</t>
        </is>
      </c>
      <c r="C7" s="91" t="inlineStr">
        <is>
          <t>Solo se aceptan datos de dispositivos registrados y mensajes autenticados.</t>
        </is>
      </c>
      <c r="D7" s="91" t="inlineStr">
        <is>
          <t>Caso 'dispositivo desconocido' del simulador TTN y respuesta 401 de /api/ingest sin clave.</t>
        </is>
      </c>
      <c r="E7" s="91" t="inlineStr">
        <is>
          <t>Cumple según SPRINT1.md y README de pruebas.</t>
        </is>
      </c>
    </row>
    <row r="8">
      <c r="A8" s="98" t="inlineStr">
        <is>
          <t>RNF-04</t>
        </is>
      </c>
      <c r="B8" s="91" t="inlineStr">
        <is>
          <t>Confiabilidad</t>
        </is>
      </c>
      <c r="C8" s="91" t="inlineStr">
        <is>
          <t>Un mismo mensaje reenviado por la red no genera lecturas ni alertas duplicadas (idempotencia).</t>
        </is>
      </c>
      <c r="D8" s="91" t="inlineStr">
        <is>
          <t>Caso 5 de 'npm run sim:ttn'.</t>
        </is>
      </c>
      <c r="E8" s="91" t="inlineStr">
        <is>
          <t>Cumple.</t>
        </is>
      </c>
    </row>
    <row r="9">
      <c r="A9" s="98" t="inlineStr">
        <is>
          <t>RNF-05</t>
        </is>
      </c>
      <c r="B9" s="91" t="inlineStr">
        <is>
          <t>Confiabilidad</t>
        </is>
      </c>
      <c r="C9" s="91" t="inlineStr">
        <is>
          <t>Un dato fuera del rango físico de la sonda se rechaza o se marca como saturado o fuera de operación; nunca se muestra como válido.</t>
        </is>
      </c>
      <c r="D9" s="91" t="inlineStr">
        <is>
          <t>Tests unitarios de ingest y del decoder.</t>
        </is>
      </c>
      <c r="E9" s="91" t="inlineStr">
        <is>
          <t>Cumple.</t>
        </is>
      </c>
    </row>
    <row r="10">
      <c r="A10" s="98" t="inlineStr">
        <is>
          <t>RNF-06</t>
        </is>
      </c>
      <c r="B10" s="91" t="inlineStr">
        <is>
          <t>Rendimiento</t>
        </is>
      </c>
      <c r="C10" s="91" t="inlineStr">
        <is>
          <t>Una lectura aparece en el dashboard pocos segundos después de llegar a la nube (valor objetivo por definir; propuesta: menos de 10 s).</t>
        </is>
      </c>
      <c r="D10" s="91" t="inlineStr">
        <is>
          <t>Prueba de rendimiento midiendo desde received_at hasta la pantalla.</t>
        </is>
      </c>
      <c r="E10" s="91" t="inlineStr">
        <is>
          <t>Sin medir: no hay pruebas de rendimiento.</t>
        </is>
      </c>
    </row>
    <row r="11">
      <c r="A11" s="98" t="inlineStr">
        <is>
          <t>RNF-07</t>
        </is>
      </c>
      <c r="B11" s="91" t="inlineStr">
        <is>
          <t>Rendimiento / Escalabilidad</t>
        </is>
      </c>
      <c r="C11" s="91" t="inlineStr">
        <is>
          <t>El sistema soporta el flujo continuo de varios sensores durante un ciclo completo sin perder lecturas (carga objetivo por definir).</t>
        </is>
      </c>
      <c r="D11" s="91" t="inlineStr">
        <is>
          <t>Prueba de carga del Sprint 7.</t>
        </is>
      </c>
      <c r="E11" s="91" t="inlineStr">
        <is>
          <t>Sin medir.</t>
        </is>
      </c>
    </row>
    <row r="12">
      <c r="A12" s="98" t="inlineStr">
        <is>
          <t>RNF-08</t>
        </is>
      </c>
      <c r="B12" s="91" t="inlineStr">
        <is>
          <t>Disponibilidad</t>
        </is>
      </c>
      <c r="C12" s="91" t="inlineStr">
        <is>
          <t>La plataforma está disponible durante los ciclos de limpieza; usa servicios administrados de Google Cloud en southamerica-west1 (Santiago).</t>
        </is>
      </c>
      <c r="D12" s="91" t="inlineStr">
        <is>
          <t>Monitoreo de Firebase y prueba de estabilidad de 8 h o más.</t>
        </is>
      </c>
      <c r="E12" s="91" t="inlineStr">
        <is>
          <t>Parcial: desplegado en Firebase; falta la prueba de estabilidad.</t>
        </is>
      </c>
    </row>
    <row r="13">
      <c r="A13" s="98" t="inlineStr">
        <is>
          <t>RNF-09</t>
        </is>
      </c>
      <c r="B13" s="91" t="inlineStr">
        <is>
          <t>Portabilidad</t>
        </is>
      </c>
      <c r="C13" s="91" t="inlineStr">
        <is>
          <t>Cualquier integrante puede levantar el entorno de desarrollo en su equipo con un procedimiento documentado y reproducible (Docker).</t>
        </is>
      </c>
      <c r="D13" s="91" t="inlineStr">
        <is>
          <t>docker-compose con emuladores, web y scripts; instrucciones en el README.</t>
        </is>
      </c>
      <c r="E13" s="91" t="inlineStr">
        <is>
          <t>Falta: no hay Docker; los emuladores fallaron en un equipo por un problema de red de Java.</t>
        </is>
      </c>
    </row>
    <row r="14">
      <c r="A14" s="98" t="inlineStr">
        <is>
          <t>RNF-10</t>
        </is>
      </c>
      <c r="B14" s="91" t="inlineStr">
        <is>
          <t>Usabilidad</t>
        </is>
      </c>
      <c r="C14" s="91" t="inlineStr">
        <is>
          <t>Un dato estimado se distingue siempre de uno medido (borde, color y prefijo '≈'), para no inducir a error al operador.</t>
        </is>
      </c>
      <c r="D14" s="91" t="inlineStr">
        <is>
          <t>Revisión del dashboard.</t>
        </is>
      </c>
      <c r="E14" s="91" t="inlineStr">
        <is>
          <t>Cumple en los indicadores del ciclo.</t>
        </is>
      </c>
    </row>
    <row r="15">
      <c r="A15" s="98" t="inlineStr">
        <is>
          <t>RNF-11</t>
        </is>
      </c>
      <c r="B15" s="91" t="inlineStr">
        <is>
          <t>Mantenibilidad</t>
        </is>
      </c>
      <c r="C15" s="91" t="inlineStr">
        <is>
          <t>El código tiene pruebas automatizadas y ningún script toca producción sin flags explícitos.</t>
        </is>
      </c>
      <c r="D15" s="91" t="inlineStr">
        <is>
          <t>npm test en functions y web (291 tests al 18-10-2026); guardarraíles en scripts/entorno.js.</t>
        </is>
      </c>
      <c r="E15" s="91" t="inlineStr">
        <is>
          <t>Cumple.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51" min="1" max="1"/>
    <col width="22" customWidth="1" style="51" min="2" max="2"/>
    <col width="52" customWidth="1" style="51" min="3" max="3"/>
    <col width="20" customWidth="1" style="51" min="4" max="4"/>
    <col width="10.71" customWidth="1" style="51" min="5" max="5"/>
    <col width="23.14" customWidth="1" style="51" min="6" max="6"/>
    <col width="12" customWidth="1" style="51" min="7" max="7"/>
    <col width="52" customWidth="1" style="51" min="8" max="8"/>
    <col width="24" customWidth="1" style="51" min="9" max="26"/>
    <col width="12" customWidth="1" style="51" min="10" max="10"/>
    <col width="14" customWidth="1" style="51" min="11" max="11"/>
    <col width="15" customWidth="1" style="51" min="12" max="12"/>
    <col width="12" customWidth="1" style="51" min="13" max="13"/>
    <col width="13" customWidth="1" style="51" min="14" max="14"/>
    <col width="12" customWidth="1" style="51" min="15" max="15"/>
    <col width="11" customWidth="1" style="51" min="16" max="16"/>
    <col width="22" customWidth="1" style="51" min="17" max="17"/>
    <col width="13" customWidth="1" style="51" min="18" max="18"/>
  </cols>
  <sheetData>
    <row r="1">
      <c r="A1" s="5" t="inlineStr">
        <is>
          <t>Sprint</t>
        </is>
      </c>
      <c r="B1" s="5" t="inlineStr">
        <is>
          <t>Categoría</t>
        </is>
      </c>
      <c r="C1" s="5" t="inlineStr">
        <is>
          <t>Tarea / Historia de usuario</t>
        </is>
      </c>
      <c r="D1" s="5" t="inlineStr">
        <is>
          <t>Responsable sugerido</t>
        </is>
      </c>
      <c r="E1" s="5" t="inlineStr">
        <is>
          <t>Estimación (días)</t>
        </is>
      </c>
      <c r="F1" s="5" t="inlineStr">
        <is>
          <t>Dependencias</t>
        </is>
      </c>
      <c r="G1" s="5" t="inlineStr">
        <is>
          <t>Estado</t>
        </is>
      </c>
      <c r="H1" s="5" t="inlineStr">
        <is>
          <t>Observaciones</t>
        </is>
      </c>
      <c r="I1" s="5" t="inlineStr">
        <is>
          <t>Origen</t>
        </is>
      </c>
      <c r="J1" s="5" t="inlineStr">
        <is>
          <t>Inicio plan</t>
        </is>
      </c>
      <c r="K1" s="5" t="inlineStr">
        <is>
          <t>Fin plan (compromiso)</t>
        </is>
      </c>
      <c r="L1" s="5" t="inlineStr">
        <is>
          <t>Término real (evidencia)</t>
        </is>
      </c>
      <c r="M1" s="5" t="inlineStr">
        <is>
          <t>Días hábiles esperados</t>
        </is>
      </c>
      <c r="N1" s="5" t="inlineStr">
        <is>
          <t>Días hábiles ejecutados</t>
        </is>
      </c>
      <c r="O1" s="5" t="inlineStr">
        <is>
          <t>Atraso (días corridos)</t>
        </is>
      </c>
      <c r="P1" s="5" t="inlineStr">
        <is>
          <t>Atraso (semanas)</t>
        </is>
      </c>
      <c r="Q1" s="5" t="inlineStr">
        <is>
          <t>Situación</t>
        </is>
      </c>
      <c r="R1" s="5" t="inlineStr">
        <is>
          <t>Historia (ID)</t>
        </is>
      </c>
    </row>
    <row r="2">
      <c r="A2" s="21" t="inlineStr">
        <is>
          <t>Sprint 1</t>
        </is>
      </c>
      <c r="B2" s="23" t="inlineStr">
        <is>
          <t>Gestión de proyecto</t>
        </is>
      </c>
      <c r="C2" s="23" t="inlineStr">
        <is>
          <t>Levantar requerimientos detallados con el cliente y definir criterios de aceptación del MVP</t>
        </is>
      </c>
      <c r="D2" s="23" t="inlineStr">
        <is>
          <t>Felipe</t>
        </is>
      </c>
      <c r="E2" s="24" t="n">
        <v>3</v>
      </c>
      <c r="F2" s="23" t="inlineStr">
        <is>
          <t>-</t>
        </is>
      </c>
      <c r="G2" s="23" t="inlineStr">
        <is>
          <t>Hecho</t>
        </is>
      </c>
      <c r="H2" s="30" t="n"/>
      <c r="I2" s="23" t="inlineStr">
        <is>
          <t>Plan original</t>
        </is>
      </c>
      <c r="J2" s="70">
        <f>IF($I2="Plan original",INDEX('Roadmap Sprints'!$B$2:$B$9,MATCH(IF($A2="Cierre","Semana de cierre",$A2),'Roadmap Sprints'!$A$2:$A$9,0)),"")</f>
        <v/>
      </c>
      <c r="K2" s="70">
        <f>IF($I2="Plan original",INDEX('Roadmap Sprints'!$C$2:$C$9,MATCH(IF($A2="Cierre","Semana de cierre",$A2),'Roadmap Sprints'!$A$2:$A$9,0)),"")</f>
        <v/>
      </c>
      <c r="L2" s="71" t="n"/>
      <c r="M2" s="72">
        <f>IF(J2="","",NETWORKDAYS(J2,K2))</f>
        <v/>
      </c>
      <c r="N2" s="72">
        <f>IF(J2="","",IF(L2&lt;&gt;"",IF(L2&lt;J2,0,NETWORKDAYS(J2,L2)),IF(G2="Hecho","",IF(Avance!$B$2&lt;J2,0,NETWORKDAYS(J2,Avance!$B$2)))))</f>
        <v/>
      </c>
      <c r="O2" s="72">
        <f>IF(J2="","n/a",IF(L2&lt;&gt;"",L2-K2,IF(G2="Hecho","s/d",MAX(0,Avance!$B$2-K2))))</f>
        <v/>
      </c>
      <c r="P2" s="73">
        <f>IF(ISNUMBER(O2),ROUND(O2/7,1),O2)</f>
        <v/>
      </c>
      <c r="Q2" s="23">
        <f>IF(J2="","No planificada",IF(G2="Hecho",IF(L2="","Hecha (sin fecha)",IF(L2&gt;K2,"Hecha con atraso","Hecha a tiempo")),IF(Avance!$B$2&gt;K2,"Pendiente atrasada","Pendiente en plazo")))</f>
        <v/>
      </c>
      <c r="R2" s="99" t="inlineStr">
        <is>
          <t>GE-01</t>
        </is>
      </c>
    </row>
    <row r="3">
      <c r="A3" s="21" t="inlineStr">
        <is>
          <t>Sprint 1</t>
        </is>
      </c>
      <c r="B3" s="23" t="inlineStr">
        <is>
          <t>Gestión de proyecto</t>
        </is>
      </c>
      <c r="C3" s="23" t="inlineStr">
        <is>
          <t>Armar backlog priorizado y tablero ágil (Jira/Trello/Linear)</t>
        </is>
      </c>
      <c r="D3" s="23" t="inlineStr">
        <is>
          <t>Tamara</t>
        </is>
      </c>
      <c r="E3" s="24" t="n">
        <v>2</v>
      </c>
      <c r="F3" s="23" t="inlineStr">
        <is>
          <t>-</t>
        </is>
      </c>
      <c r="G3" s="23" t="inlineStr">
        <is>
          <t>Hecho</t>
        </is>
      </c>
      <c r="H3" s="30" t="n"/>
      <c r="I3" s="23" t="inlineStr">
        <is>
          <t>Plan original</t>
        </is>
      </c>
      <c r="J3" s="70">
        <f>IF($I3="Plan original",INDEX('Roadmap Sprints'!$B$2:$B$9,MATCH(IF($A3="Cierre","Semana de cierre",$A3),'Roadmap Sprints'!$A$2:$A$9,0)),"")</f>
        <v/>
      </c>
      <c r="K3" s="70">
        <f>IF($I3="Plan original",INDEX('Roadmap Sprints'!$C$2:$C$9,MATCH(IF($A3="Cierre","Semana de cierre",$A3),'Roadmap Sprints'!$A$2:$A$9,0)),"")</f>
        <v/>
      </c>
      <c r="L3" s="71" t="n"/>
      <c r="M3" s="72">
        <f>IF(J3="","",NETWORKDAYS(J3,K3))</f>
        <v/>
      </c>
      <c r="N3" s="72">
        <f>IF(J3="","",IF(L3&lt;&gt;"",IF(L3&lt;J3,0,NETWORKDAYS(J3,L3)),IF(G3="Hecho","",IF(Avance!$B$2&lt;J3,0,NETWORKDAYS(J3,Avance!$B$2)))))</f>
        <v/>
      </c>
      <c r="O3" s="72">
        <f>IF(J3="","n/a",IF(L3&lt;&gt;"",L3-K3,IF(G3="Hecho","s/d",MAX(0,Avance!$B$2-K3))))</f>
        <v/>
      </c>
      <c r="P3" s="73">
        <f>IF(ISNUMBER(O3),ROUND(O3/7,1),O3)</f>
        <v/>
      </c>
      <c r="Q3" s="23">
        <f>IF(J3="","No planificada",IF(G3="Hecho",IF(L3="","Hecha (sin fecha)",IF(L3&gt;K3,"Hecha con atraso","Hecha a tiempo")),IF(Avance!$B$2&gt;K3,"Pendiente atrasada","Pendiente en plazo")))</f>
        <v/>
      </c>
      <c r="R3" s="99" t="inlineStr">
        <is>
          <t>GE-01</t>
        </is>
      </c>
    </row>
    <row r="4">
      <c r="A4" s="21" t="inlineStr">
        <is>
          <t>Sprint 1</t>
        </is>
      </c>
      <c r="B4" s="23" t="inlineStr">
        <is>
          <t>Hardware / Sensores</t>
        </is>
      </c>
      <c r="C4" s="23" t="inlineStr">
        <is>
          <t>Finalizar cotización de sensores de temperatura, pH, conductividad y caudal/consumo</t>
        </is>
      </c>
      <c r="D4" s="23" t="inlineStr">
        <is>
          <t>Felipe</t>
        </is>
      </c>
      <c r="E4" s="24" t="n">
        <v>5</v>
      </c>
      <c r="F4" s="23" t="inlineStr">
        <is>
          <t>-</t>
        </is>
      </c>
      <c r="G4" s="23" t="inlineStr">
        <is>
          <t>Hecho</t>
        </is>
      </c>
      <c r="H4" s="30" t="inlineStr">
        <is>
          <t>Cotización y orden de compra en Gestion Sensores/ (commit d758be2, 07-oct-2026).</t>
        </is>
      </c>
      <c r="I4" s="23" t="inlineStr">
        <is>
          <t>Plan original</t>
        </is>
      </c>
      <c r="J4" s="70">
        <f>IF($I4="Plan original",INDEX('Roadmap Sprints'!$B$2:$B$9,MATCH(IF($A4="Cierre","Semana de cierre",$A4),'Roadmap Sprints'!$A$2:$A$9,0)),"")</f>
        <v/>
      </c>
      <c r="K4" s="70">
        <f>IF($I4="Plan original",INDEX('Roadmap Sprints'!$C$2:$C$9,MATCH(IF($A4="Cierre","Semana de cierre",$A4),'Roadmap Sprints'!$A$2:$A$9,0)),"")</f>
        <v/>
      </c>
      <c r="L4" s="71" t="n">
        <v>46302</v>
      </c>
      <c r="M4" s="72">
        <f>IF(J4="","",NETWORKDAYS(J4,K4))</f>
        <v/>
      </c>
      <c r="N4" s="72">
        <f>IF(J4="","",IF(L4&lt;&gt;"",IF(L4&lt;J4,0,NETWORKDAYS(J4,L4)),IF(G4="Hecho","",IF(Avance!$B$2&lt;J4,0,NETWORKDAYS(J4,Avance!$B$2)))))</f>
        <v/>
      </c>
      <c r="O4" s="72">
        <f>IF(J4="","n/a",IF(L4&lt;&gt;"",L4-K4,IF(G4="Hecho","s/d",MAX(0,Avance!$B$2-K4))))</f>
        <v/>
      </c>
      <c r="P4" s="73">
        <f>IF(ISNUMBER(O4),ROUND(O4/7,1),O4)</f>
        <v/>
      </c>
      <c r="Q4" s="23">
        <f>IF(J4="","No planificada",IF(G4="Hecho",IF(L4="","Hecha (sin fecha)",IF(L4&gt;K4,"Hecha con atraso","Hecha a tiempo")),IF(Avance!$B$2&gt;K4,"Pendiente atrasada","Pendiente en plazo")))</f>
        <v/>
      </c>
      <c r="R4" s="99" t="inlineStr">
        <is>
          <t>HT-03</t>
        </is>
      </c>
    </row>
    <row r="5">
      <c r="A5" s="21" t="inlineStr">
        <is>
          <t>Sprint 1</t>
        </is>
      </c>
      <c r="B5" s="23" t="inlineStr">
        <is>
          <t>Backend / Firebase</t>
        </is>
      </c>
      <c r="C5" s="23" t="inlineStr">
        <is>
          <t>Crear proyecto en Firebase/GCP y definir estructura (Auth, Firestore, Functions, Hosting)</t>
        </is>
      </c>
      <c r="D5" s="23" t="inlineStr">
        <is>
          <t>Humberto y cristian</t>
        </is>
      </c>
      <c r="E5" s="24" t="n">
        <v>3</v>
      </c>
      <c r="F5" s="23" t="inlineStr">
        <is>
          <t>-</t>
        </is>
      </c>
      <c r="G5" s="23" t="inlineStr">
        <is>
          <t>Hecho</t>
        </is>
      </c>
      <c r="H5" s="30" t="inlineStr">
        <is>
          <t>Proyecto stormcip-972bd en producción; Functions, reglas e índices desplegados (SPRINT3.md §2).</t>
        </is>
      </c>
      <c r="I5" s="23" t="inlineStr">
        <is>
          <t>Plan original</t>
        </is>
      </c>
      <c r="J5" s="70">
        <f>IF($I5="Plan original",INDEX('Roadmap Sprints'!$B$2:$B$9,MATCH(IF($A5="Cierre","Semana de cierre",$A5),'Roadmap Sprints'!$A$2:$A$9,0)),"")</f>
        <v/>
      </c>
      <c r="K5" s="70">
        <f>IF($I5="Plan original",INDEX('Roadmap Sprints'!$C$2:$C$9,MATCH(IF($A5="Cierre","Semana de cierre",$A5),'Roadmap Sprints'!$A$2:$A$9,0)),"")</f>
        <v/>
      </c>
      <c r="L5" s="71" t="n">
        <v>46286</v>
      </c>
      <c r="M5" s="72">
        <f>IF(J5="","",NETWORKDAYS(J5,K5))</f>
        <v/>
      </c>
      <c r="N5" s="72">
        <f>IF(J5="","",IF(L5&lt;&gt;"",IF(L5&lt;J5,0,NETWORKDAYS(J5,L5)),IF(G5="Hecho","",IF(Avance!$B$2&lt;J5,0,NETWORKDAYS(J5,Avance!$B$2)))))</f>
        <v/>
      </c>
      <c r="O5" s="72">
        <f>IF(J5="","n/a",IF(L5&lt;&gt;"",L5-K5,IF(G5="Hecho","s/d",MAX(0,Avance!$B$2-K5))))</f>
        <v/>
      </c>
      <c r="P5" s="73">
        <f>IF(ISNUMBER(O5),ROUND(O5/7,1),O5)</f>
        <v/>
      </c>
      <c r="Q5" s="23">
        <f>IF(J5="","No planificada",IF(G5="Hecho",IF(L5="","Hecha (sin fecha)",IF(L5&gt;K5,"Hecha con atraso","Hecha a tiempo")),IF(Avance!$B$2&gt;K5,"Pendiente atrasada","Pendiente en plazo")))</f>
        <v/>
      </c>
      <c r="R5" s="99" t="inlineStr">
        <is>
          <t>HT-01</t>
        </is>
      </c>
    </row>
    <row r="6">
      <c r="A6" s="21" t="inlineStr">
        <is>
          <t>Sprint 1</t>
        </is>
      </c>
      <c r="B6" s="23" t="inlineStr">
        <is>
          <t>Backend / Firebase</t>
        </is>
      </c>
      <c r="C6" s="23" t="inlineStr">
        <is>
          <t>Diseñar modelo de datos para lecturas de sensores en Firestore/Realtime DB</t>
        </is>
      </c>
      <c r="D6" s="23" t="inlineStr">
        <is>
          <t>Humberto y cristian</t>
        </is>
      </c>
      <c r="E6" s="24" t="n">
        <v>3</v>
      </c>
      <c r="F6" s="23" t="inlineStr">
        <is>
          <t>Proyecto Firebase creado</t>
        </is>
      </c>
      <c r="G6" s="23" t="inlineStr">
        <is>
          <t>Hecho</t>
        </is>
      </c>
      <c r="H6" s="30" t="inlineStr">
        <is>
          <t>Modelo v2 documentado en Base de datos/modelo-datos-sensores.md (el manual de sensores ya se recibió).</t>
        </is>
      </c>
      <c r="I6" s="23" t="inlineStr">
        <is>
          <t>Plan original</t>
        </is>
      </c>
      <c r="J6" s="70">
        <f>IF($I6="Plan original",INDEX('Roadmap Sprints'!$B$2:$B$9,MATCH(IF($A6="Cierre","Semana de cierre",$A6),'Roadmap Sprints'!$A$2:$A$9,0)),"")</f>
        <v/>
      </c>
      <c r="K6" s="70">
        <f>IF($I6="Plan original",INDEX('Roadmap Sprints'!$C$2:$C$9,MATCH(IF($A6="Cierre","Semana de cierre",$A6),'Roadmap Sprints'!$A$2:$A$9,0)),"")</f>
        <v/>
      </c>
      <c r="L6" s="71" t="n">
        <v>46290</v>
      </c>
      <c r="M6" s="72">
        <f>IF(J6="","",NETWORKDAYS(J6,K6))</f>
        <v/>
      </c>
      <c r="N6" s="72">
        <f>IF(J6="","",IF(L6&lt;&gt;"",IF(L6&lt;J6,0,NETWORKDAYS(J6,L6)),IF(G6="Hecho","",IF(Avance!$B$2&lt;J6,0,NETWORKDAYS(J6,Avance!$B$2)))))</f>
        <v/>
      </c>
      <c r="O6" s="72">
        <f>IF(J6="","n/a",IF(L6&lt;&gt;"",L6-K6,IF(G6="Hecho","s/d",MAX(0,Avance!$B$2-K6))))</f>
        <v/>
      </c>
      <c r="P6" s="73">
        <f>IF(ISNUMBER(O6),ROUND(O6/7,1),O6)</f>
        <v/>
      </c>
      <c r="Q6" s="23">
        <f>IF(J6="","No planificada",IF(G6="Hecho",IF(L6="","Hecha (sin fecha)",IF(L6&gt;K6,"Hecha con atraso","Hecha a tiempo")),IF(Avance!$B$2&gt;K6,"Pendiente atrasada","Pendiente en plazo")))</f>
        <v/>
      </c>
      <c r="R6" s="99" t="inlineStr">
        <is>
          <t>HT-02</t>
        </is>
      </c>
    </row>
    <row r="7">
      <c r="A7" s="21" t="inlineStr">
        <is>
          <t>Sprint 1</t>
        </is>
      </c>
      <c r="B7" s="23" t="inlineStr">
        <is>
          <t>Análisis Predictivo</t>
        </is>
      </c>
      <c r="C7" s="23" t="inlineStr">
        <is>
          <t>Diseñar el enfoque de simulación de datos (variables, rangos y patrones física-informados de un ciclo CIP) para poder entrenar los modelos de ML sin esperar datos reales</t>
        </is>
      </c>
      <c r="D7" s="23" t="inlineStr">
        <is>
          <t>Dev Backend</t>
        </is>
      </c>
      <c r="E7" s="24" t="n">
        <v>3</v>
      </c>
      <c r="F7" s="23" t="inlineStr">
        <is>
          <t>-</t>
        </is>
      </c>
      <c r="G7" s="23" t="inlineStr">
        <is>
          <t>Por hacer</t>
        </is>
      </c>
      <c r="H7" s="30" t="inlineStr">
        <is>
          <t>Esto más adelante. Existe un simulador CIP para la demo (functions/src/simulacion/modeloCip.ts), pero no el diseño de datos para ML. Se retoma tras la revisión de manuales (oct-2026).</t>
        </is>
      </c>
      <c r="I7" s="23" t="inlineStr">
        <is>
          <t>Plan original</t>
        </is>
      </c>
      <c r="J7" s="70">
        <f>IF($I7="Plan original",INDEX('Roadmap Sprints'!$B$2:$B$9,MATCH(IF($A7="Cierre","Semana de cierre",$A7),'Roadmap Sprints'!$A$2:$A$9,0)),"")</f>
        <v/>
      </c>
      <c r="K7" s="70">
        <f>IF($I7="Plan original",INDEX('Roadmap Sprints'!$C$2:$C$9,MATCH(IF($A7="Cierre","Semana de cierre",$A7),'Roadmap Sprints'!$A$2:$A$9,0)),"")</f>
        <v/>
      </c>
      <c r="L7" s="71" t="n"/>
      <c r="M7" s="72">
        <f>IF(J7="","",NETWORKDAYS(J7,K7))</f>
        <v/>
      </c>
      <c r="N7" s="72">
        <f>IF(J7="","",IF(L7&lt;&gt;"",IF(L7&lt;J7,0,NETWORKDAYS(J7,L7)),IF(G7="Hecho","",IF(Avance!$B$2&lt;J7,0,NETWORKDAYS(J7,Avance!$B$2)))))</f>
        <v/>
      </c>
      <c r="O7" s="72">
        <f>IF(J7="","n/a",IF(L7&lt;&gt;"",L7-K7,IF(G7="Hecho","s/d",MAX(0,Avance!$B$2-K7))))</f>
        <v/>
      </c>
      <c r="P7" s="73">
        <f>IF(ISNUMBER(O7),ROUND(O7/7,1),O7)</f>
        <v/>
      </c>
      <c r="Q7" s="23">
        <f>IF(J7="","No planificada",IF(G7="Hecho",IF(L7="","Hecha (sin fecha)",IF(L7&gt;K7,"Hecha con atraso","Hecha a tiempo")),IF(Avance!$B$2&gt;K7,"Pendiente atrasada","Pendiente en plazo")))</f>
        <v/>
      </c>
      <c r="R7" s="99" t="inlineStr">
        <is>
          <t>HU-07</t>
        </is>
      </c>
    </row>
    <row r="8">
      <c r="A8" s="26" t="inlineStr">
        <is>
          <t>Sprint 2</t>
        </is>
      </c>
      <c r="B8" s="28" t="inlineStr">
        <is>
          <t>Hardware / Sensores</t>
        </is>
      </c>
      <c r="C8" s="28" t="inlineStr">
        <is>
          <t>Emitir orden de compra de sensores y gateway/microcontrolador (ej. ESP32)</t>
        </is>
      </c>
      <c r="D8" s="28" t="inlineStr">
        <is>
          <t>Felipe</t>
        </is>
      </c>
      <c r="E8" s="47" t="n">
        <v>3</v>
      </c>
      <c r="F8" s="28" t="inlineStr">
        <is>
          <t>Cotización aprobada</t>
        </is>
      </c>
      <c r="G8" s="28" t="inlineStr">
        <is>
          <t>Hecho</t>
        </is>
      </c>
      <c r="H8" s="30" t="inlineStr">
        <is>
          <t>OC en Gestion Sensores/OrdenDeCompraSensores.pdf. Pendiente confirmar recepción e instalación de los sensores.</t>
        </is>
      </c>
      <c r="I8" s="28" t="inlineStr">
        <is>
          <t>Plan original</t>
        </is>
      </c>
      <c r="J8" s="74">
        <f>IF($I8="Plan original",INDEX('Roadmap Sprints'!$B$2:$B$9,MATCH(IF($A8="Cierre","Semana de cierre",$A8),'Roadmap Sprints'!$A$2:$A$9,0)),"")</f>
        <v/>
      </c>
      <c r="K8" s="74">
        <f>IF($I8="Plan original",INDEX('Roadmap Sprints'!$C$2:$C$9,MATCH(IF($A8="Cierre","Semana de cierre",$A8),'Roadmap Sprints'!$A$2:$A$9,0)),"")</f>
        <v/>
      </c>
      <c r="L8" s="75" t="n">
        <v>46302</v>
      </c>
      <c r="M8" s="76">
        <f>IF(J8="","",NETWORKDAYS(J8,K8))</f>
        <v/>
      </c>
      <c r="N8" s="76">
        <f>IF(J8="","",IF(L8&lt;&gt;"",IF(L8&lt;J8,0,NETWORKDAYS(J8,L8)),IF(G8="Hecho","",IF(Avance!$B$2&lt;J8,0,NETWORKDAYS(J8,Avance!$B$2)))))</f>
        <v/>
      </c>
      <c r="O8" s="76">
        <f>IF(J8="","n/a",IF(L8&lt;&gt;"",L8-K8,IF(G8="Hecho","s/d",MAX(0,Avance!$B$2-K8))))</f>
        <v/>
      </c>
      <c r="P8" s="77">
        <f>IF(ISNUMBER(O8),ROUND(O8/7,1),O8)</f>
        <v/>
      </c>
      <c r="Q8" s="28">
        <f>IF(J8="","No planificada",IF(G8="Hecho",IF(L8="","Hecha (sin fecha)",IF(L8&gt;K8,"Hecha con atraso","Hecha a tiempo")),IF(Avance!$B$2&gt;K8,"Pendiente atrasada","Pendiente en plazo")))</f>
        <v/>
      </c>
      <c r="R8" s="100" t="inlineStr">
        <is>
          <t>HT-03</t>
        </is>
      </c>
    </row>
    <row r="9">
      <c r="A9" s="26" t="inlineStr">
        <is>
          <t>Sprint 2</t>
        </is>
      </c>
      <c r="B9" s="28" t="inlineStr">
        <is>
          <t>Auth / Frontend</t>
        </is>
      </c>
      <c r="C9" s="28" t="inlineStr">
        <is>
          <t>Implementar Firebase Authentication (login cliente / interno)</t>
        </is>
      </c>
      <c r="D9" s="28" t="inlineStr">
        <is>
          <t>Humberto</t>
        </is>
      </c>
      <c r="E9" s="47" t="n">
        <v>5</v>
      </c>
      <c r="F9" s="28" t="inlineStr">
        <is>
          <t>Proyecto Firebase creado</t>
        </is>
      </c>
      <c r="G9" s="28" t="inlineStr">
        <is>
          <t>Hecho</t>
        </is>
      </c>
      <c r="H9" s="30" t="inlineStr">
        <is>
          <t>Login con roles admin / operador / visor (custom claims).</t>
        </is>
      </c>
      <c r="I9" s="28" t="inlineStr">
        <is>
          <t>Plan original</t>
        </is>
      </c>
      <c r="J9" s="74">
        <f>IF($I9="Plan original",INDEX('Roadmap Sprints'!$B$2:$B$9,MATCH(IF($A9="Cierre","Semana de cierre",$A9),'Roadmap Sprints'!$A$2:$A$9,0)),"")</f>
        <v/>
      </c>
      <c r="K9" s="74">
        <f>IF($I9="Plan original",INDEX('Roadmap Sprints'!$C$2:$C$9,MATCH(IF($A9="Cierre","Semana de cierre",$A9),'Roadmap Sprints'!$A$2:$A$9,0)),"")</f>
        <v/>
      </c>
      <c r="L9" s="75" t="n">
        <v>46286</v>
      </c>
      <c r="M9" s="76">
        <f>IF(J9="","",NETWORKDAYS(J9,K9))</f>
        <v/>
      </c>
      <c r="N9" s="76">
        <f>IF(J9="","",IF(L9&lt;&gt;"",IF(L9&lt;J9,0,NETWORKDAYS(J9,L9)),IF(G9="Hecho","",IF(Avance!$B$2&lt;J9,0,NETWORKDAYS(J9,Avance!$B$2)))))</f>
        <v/>
      </c>
      <c r="O9" s="76">
        <f>IF(J9="","n/a",IF(L9&lt;&gt;"",L9-K9,IF(G9="Hecho","s/d",MAX(0,Avance!$B$2-K9))))</f>
        <v/>
      </c>
      <c r="P9" s="77">
        <f>IF(ISNUMBER(O9),ROUND(O9/7,1),O9)</f>
        <v/>
      </c>
      <c r="Q9" s="28">
        <f>IF(J9="","No planificada",IF(G9="Hecho",IF(L9="","Hecha (sin fecha)",IF(L9&gt;K9,"Hecha con atraso","Hecha a tiempo")),IF(Avance!$B$2&gt;K9,"Pendiente atrasada","Pendiente en plazo")))</f>
        <v/>
      </c>
      <c r="R9" s="100" t="inlineStr">
        <is>
          <t>HU-08</t>
        </is>
      </c>
    </row>
    <row r="10">
      <c r="A10" s="26" t="inlineStr">
        <is>
          <t>Sprint 2</t>
        </is>
      </c>
      <c r="B10" s="28" t="inlineStr">
        <is>
          <t>Frontend / Dashboard</t>
        </is>
      </c>
      <c r="C10" s="28" t="inlineStr">
        <is>
          <t>Scaffolding de la app web (framework, rutas, layout base, conexión a Firebase)</t>
        </is>
      </c>
      <c r="D10" s="28" t="inlineStr">
        <is>
          <t>Humberto</t>
        </is>
      </c>
      <c r="E10" s="47" t="n">
        <v>5</v>
      </c>
      <c r="F10" s="28" t="inlineStr">
        <is>
          <t>Proyecto Firebase creado</t>
        </is>
      </c>
      <c r="G10" s="28" t="inlineStr">
        <is>
          <t>Hecho</t>
        </is>
      </c>
      <c r="H10" s="30" t="inlineStr">
        <is>
          <t>App Next.js en Aplicación/stormcip/web.</t>
        </is>
      </c>
      <c r="I10" s="28" t="inlineStr">
        <is>
          <t>Plan original</t>
        </is>
      </c>
      <c r="J10" s="74">
        <f>IF($I10="Plan original",INDEX('Roadmap Sprints'!$B$2:$B$9,MATCH(IF($A10="Cierre","Semana de cierre",$A10),'Roadmap Sprints'!$A$2:$A$9,0)),"")</f>
        <v/>
      </c>
      <c r="K10" s="74">
        <f>IF($I10="Plan original",INDEX('Roadmap Sprints'!$C$2:$C$9,MATCH(IF($A10="Cierre","Semana de cierre",$A10),'Roadmap Sprints'!$A$2:$A$9,0)),"")</f>
        <v/>
      </c>
      <c r="L10" s="75" t="n">
        <v>46296</v>
      </c>
      <c r="M10" s="76">
        <f>IF(J10="","",NETWORKDAYS(J10,K10))</f>
        <v/>
      </c>
      <c r="N10" s="76">
        <f>IF(J10="","",IF(L10&lt;&gt;"",IF(L10&lt;J10,0,NETWORKDAYS(J10,L10)),IF(G10="Hecho","",IF(Avance!$B$2&lt;J10,0,NETWORKDAYS(J10,Avance!$B$2)))))</f>
        <v/>
      </c>
      <c r="O10" s="76">
        <f>IF(J10="","n/a",IF(L10&lt;&gt;"",L10-K10,IF(G10="Hecho","s/d",MAX(0,Avance!$B$2-K10))))</f>
        <v/>
      </c>
      <c r="P10" s="77">
        <f>IF(ISNUMBER(O10),ROUND(O10/7,1),O10)</f>
        <v/>
      </c>
      <c r="Q10" s="28">
        <f>IF(J10="","No planificada",IF(G10="Hecho",IF(L10="","Hecha (sin fecha)",IF(L10&gt;K10,"Hecha con atraso","Hecha a tiempo")),IF(Avance!$B$2&gt;K10,"Pendiente atrasada","Pendiente en plazo")))</f>
        <v/>
      </c>
      <c r="R10" s="100" t="inlineStr">
        <is>
          <t>HU-01</t>
        </is>
      </c>
    </row>
    <row r="11">
      <c r="A11" s="26" t="inlineStr">
        <is>
          <t>Sprint 2</t>
        </is>
      </c>
      <c r="B11" s="28" t="inlineStr">
        <is>
          <t>Backend / Firebase</t>
        </is>
      </c>
      <c r="C11" s="28" t="inlineStr">
        <is>
          <t>Función HTTP/Callable para recibir datos simulados de sensores</t>
        </is>
      </c>
      <c r="D11" s="28" t="inlineStr">
        <is>
          <t>Humberto y cristian</t>
        </is>
      </c>
      <c r="E11" s="47" t="n">
        <v>3</v>
      </c>
      <c r="F11" s="28" t="inlineStr">
        <is>
          <t>Modelo de datos definido</t>
        </is>
      </c>
      <c r="G11" s="28" t="inlineStr">
        <is>
          <t>Hecho</t>
        </is>
      </c>
      <c r="H11" s="30" t="inlineStr">
        <is>
          <t>ingestLectura (POST /api/ingest) y simuladores en scripts/.</t>
        </is>
      </c>
      <c r="I11" s="28" t="inlineStr">
        <is>
          <t>Plan original</t>
        </is>
      </c>
      <c r="J11" s="74">
        <f>IF($I11="Plan original",INDEX('Roadmap Sprints'!$B$2:$B$9,MATCH(IF($A11="Cierre","Semana de cierre",$A11),'Roadmap Sprints'!$A$2:$A$9,0)),"")</f>
        <v/>
      </c>
      <c r="K11" s="74">
        <f>IF($I11="Plan original",INDEX('Roadmap Sprints'!$C$2:$C$9,MATCH(IF($A11="Cierre","Semana de cierre",$A11),'Roadmap Sprints'!$A$2:$A$9,0)),"")</f>
        <v/>
      </c>
      <c r="L11" s="75" t="n">
        <v>46286</v>
      </c>
      <c r="M11" s="76">
        <f>IF(J11="","",NETWORKDAYS(J11,K11))</f>
        <v/>
      </c>
      <c r="N11" s="76">
        <f>IF(J11="","",IF(L11&lt;&gt;"",IF(L11&lt;J11,0,NETWORKDAYS(J11,L11)),IF(G11="Hecho","",IF(Avance!$B$2&lt;J11,0,NETWORKDAYS(J11,Avance!$B$2)))))</f>
        <v/>
      </c>
      <c r="O11" s="76">
        <f>IF(J11="","n/a",IF(L11&lt;&gt;"",L11-K11,IF(G11="Hecho","s/d",MAX(0,Avance!$B$2-K11))))</f>
        <v/>
      </c>
      <c r="P11" s="77">
        <f>IF(ISNUMBER(O11),ROUND(O11/7,1),O11)</f>
        <v/>
      </c>
      <c r="Q11" s="28">
        <f>IF(J11="","No planificada",IF(G11="Hecho",IF(L11="","Hecha (sin fecha)",IF(L11&gt;K11,"Hecha con atraso","Hecha a tiempo")),IF(Avance!$B$2&gt;K11,"Pendiente atrasada","Pendiente en plazo")))</f>
        <v/>
      </c>
      <c r="R11" s="100" t="inlineStr">
        <is>
          <t>HU-12</t>
        </is>
      </c>
    </row>
    <row r="12">
      <c r="A12" s="26" t="inlineStr">
        <is>
          <t>Sprint 2</t>
        </is>
      </c>
      <c r="B12" s="28" t="inlineStr">
        <is>
          <t>Análisis Predictivo</t>
        </is>
      </c>
      <c r="C12" s="28" t="inlineStr">
        <is>
          <t>Generar el dataset histórico simulado (script Python) con los patrones definidos en Sprint 1</t>
        </is>
      </c>
      <c r="D12" s="28" t="inlineStr">
        <is>
          <t>Dev Backend</t>
        </is>
      </c>
      <c r="E12" s="47" t="n">
        <v>3</v>
      </c>
      <c r="F12" s="28" t="inlineStr">
        <is>
          <t>Diseño de la simulación</t>
        </is>
      </c>
      <c r="G12" s="28" t="inlineStr">
        <is>
          <t>Por hacer</t>
        </is>
      </c>
      <c r="H12" s="30" t="inlineStr">
        <is>
          <t>esto mas adelante</t>
        </is>
      </c>
      <c r="I12" s="28" t="inlineStr">
        <is>
          <t>Plan original</t>
        </is>
      </c>
      <c r="J12" s="74">
        <f>IF($I12="Plan original",INDEX('Roadmap Sprints'!$B$2:$B$9,MATCH(IF($A12="Cierre","Semana de cierre",$A12),'Roadmap Sprints'!$A$2:$A$9,0)),"")</f>
        <v/>
      </c>
      <c r="K12" s="74">
        <f>IF($I12="Plan original",INDEX('Roadmap Sprints'!$C$2:$C$9,MATCH(IF($A12="Cierre","Semana de cierre",$A12),'Roadmap Sprints'!$A$2:$A$9,0)),"")</f>
        <v/>
      </c>
      <c r="L12" s="75" t="n"/>
      <c r="M12" s="76">
        <f>IF(J12="","",NETWORKDAYS(J12,K12))</f>
        <v/>
      </c>
      <c r="N12" s="76">
        <f>IF(J12="","",IF(L12&lt;&gt;"",IF(L12&lt;J12,0,NETWORKDAYS(J12,L12)),IF(G12="Hecho","",IF(Avance!$B$2&lt;J12,0,NETWORKDAYS(J12,Avance!$B$2)))))</f>
        <v/>
      </c>
      <c r="O12" s="76">
        <f>IF(J12="","n/a",IF(L12&lt;&gt;"",L12-K12,IF(G12="Hecho","s/d",MAX(0,Avance!$B$2-K12))))</f>
        <v/>
      </c>
      <c r="P12" s="77">
        <f>IF(ISNUMBER(O12),ROUND(O12/7,1),O12)</f>
        <v/>
      </c>
      <c r="Q12" s="28">
        <f>IF(J12="","No planificada",IF(G12="Hecho",IF(L12="","Hecha (sin fecha)",IF(L12&gt;K12,"Hecha con atraso","Hecha a tiempo")),IF(Avance!$B$2&gt;K12,"Pendiente atrasada","Pendiente en plazo")))</f>
        <v/>
      </c>
      <c r="R12" s="100" t="inlineStr">
        <is>
          <t>HU-07</t>
        </is>
      </c>
    </row>
    <row r="13">
      <c r="A13" s="26" t="inlineStr">
        <is>
          <t>Sprint 2</t>
        </is>
      </c>
      <c r="B13" s="28" t="inlineStr">
        <is>
          <t>Análisis Predictivo</t>
        </is>
      </c>
      <c r="C13" s="28" t="inlineStr">
        <is>
          <t>Entrenar la primera versión de los modelos de ML clásico (regresión / ARIMA-Prophet) con el dataset simulado</t>
        </is>
      </c>
      <c r="D13" s="28" t="inlineStr">
        <is>
          <t>Dev Backend</t>
        </is>
      </c>
      <c r="E13" s="47" t="n">
        <v>4</v>
      </c>
      <c r="F13" s="28" t="inlineStr">
        <is>
          <t>Dataset simulado generado</t>
        </is>
      </c>
      <c r="G13" s="28" t="inlineStr">
        <is>
          <t>Por hacer</t>
        </is>
      </c>
      <c r="H13" s="30" t="inlineStr">
        <is>
          <t>esto mas adelante</t>
        </is>
      </c>
      <c r="I13" s="28" t="inlineStr">
        <is>
          <t>Plan original</t>
        </is>
      </c>
      <c r="J13" s="74">
        <f>IF($I13="Plan original",INDEX('Roadmap Sprints'!$B$2:$B$9,MATCH(IF($A13="Cierre","Semana de cierre",$A13),'Roadmap Sprints'!$A$2:$A$9,0)),"")</f>
        <v/>
      </c>
      <c r="K13" s="74">
        <f>IF($I13="Plan original",INDEX('Roadmap Sprints'!$C$2:$C$9,MATCH(IF($A13="Cierre","Semana de cierre",$A13),'Roadmap Sprints'!$A$2:$A$9,0)),"")</f>
        <v/>
      </c>
      <c r="L13" s="75" t="n"/>
      <c r="M13" s="76">
        <f>IF(J13="","",NETWORKDAYS(J13,K13))</f>
        <v/>
      </c>
      <c r="N13" s="76">
        <f>IF(J13="","",IF(L13&lt;&gt;"",IF(L13&lt;J13,0,NETWORKDAYS(J13,L13)),IF(G13="Hecho","",IF(Avance!$B$2&lt;J13,0,NETWORKDAYS(J13,Avance!$B$2)))))</f>
        <v/>
      </c>
      <c r="O13" s="76">
        <f>IF(J13="","n/a",IF(L13&lt;&gt;"",L13-K13,IF(G13="Hecho","s/d",MAX(0,Avance!$B$2-K13))))</f>
        <v/>
      </c>
      <c r="P13" s="77">
        <f>IF(ISNUMBER(O13),ROUND(O13/7,1),O13)</f>
        <v/>
      </c>
      <c r="Q13" s="28">
        <f>IF(J13="","No planificada",IF(G13="Hecho",IF(L13="","Hecha (sin fecha)",IF(L13&gt;K13,"Hecha con atraso","Hecha a tiempo")),IF(Avance!$B$2&gt;K13,"Pendiente atrasada","Pendiente en plazo")))</f>
        <v/>
      </c>
      <c r="R13" s="100" t="inlineStr">
        <is>
          <t>HU-07</t>
        </is>
      </c>
    </row>
    <row r="14">
      <c r="A14" s="26" t="inlineStr">
        <is>
          <t>Sprint 3</t>
        </is>
      </c>
      <c r="B14" s="28" t="inlineStr">
        <is>
          <t>Hardware / Sensores</t>
        </is>
      </c>
      <c r="C14" s="28" t="inlineStr">
        <is>
          <t>Armado estructural de la maqueta (bomba, cañerías, estanques de prueba)</t>
        </is>
      </c>
      <c r="D14" s="28" t="inlineStr">
        <is>
          <t>Técnico</t>
        </is>
      </c>
      <c r="E14" s="47" t="n">
        <v>21</v>
      </c>
      <c r="F14" s="28" t="inlineStr">
        <is>
          <t>Sensores recibidos</t>
        </is>
      </c>
      <c r="G14" s="28" t="inlineStr">
        <is>
          <t>En proceso</t>
        </is>
      </c>
      <c r="H14" s="30" t="inlineStr">
        <is>
          <t>Esto es en paralelo. El técnico ya armó el modelo del flujo en una maqueta a escala reducida (18-oct-2026); faltan los sensores.</t>
        </is>
      </c>
      <c r="I14" s="28" t="inlineStr">
        <is>
          <t>Plan original</t>
        </is>
      </c>
      <c r="J14" s="74">
        <f>IF($I14="Plan original",INDEX('Roadmap Sprints'!$B$2:$B$9,MATCH(IF($A14="Cierre","Semana de cierre",$A14),'Roadmap Sprints'!$A$2:$A$9,0)),"")</f>
        <v/>
      </c>
      <c r="K14" s="74">
        <f>IF($I14="Plan original",INDEX('Roadmap Sprints'!$C$2:$C$9,MATCH(IF($A14="Cierre","Semana de cierre",$A14),'Roadmap Sprints'!$A$2:$A$9,0)),"")</f>
        <v/>
      </c>
      <c r="L14" s="75" t="n"/>
      <c r="M14" s="76">
        <f>IF(J14="","",NETWORKDAYS(J14,K14))</f>
        <v/>
      </c>
      <c r="N14" s="76">
        <f>IF(J14="","",IF(L14&lt;&gt;"",IF(L14&lt;J14,0,NETWORKDAYS(J14,L14)),IF(G14="Hecho","",IF(Avance!$B$2&lt;J14,0,NETWORKDAYS(J14,Avance!$B$2)))))</f>
        <v/>
      </c>
      <c r="O14" s="76">
        <f>IF(J14="","n/a",IF(L14&lt;&gt;"",L14-K14,IF(G14="Hecho","s/d",MAX(0,Avance!$B$2-K14))))</f>
        <v/>
      </c>
      <c r="P14" s="77">
        <f>IF(ISNUMBER(O14),ROUND(O14/7,1),O14)</f>
        <v/>
      </c>
      <c r="Q14" s="28">
        <f>IF(J14="","No planificada",IF(G14="Hecho",IF(L14="","Hecha (sin fecha)",IF(L14&gt;K14,"Hecha con atraso","Hecha a tiempo")),IF(Avance!$B$2&gt;K14,"Pendiente atrasada","Pendiente en plazo")))</f>
        <v/>
      </c>
      <c r="R14" s="100" t="inlineStr">
        <is>
          <t>HT-03</t>
        </is>
      </c>
    </row>
    <row r="15">
      <c r="A15" s="26" t="inlineStr">
        <is>
          <t>Sprint 3</t>
        </is>
      </c>
      <c r="B15" s="28" t="inlineStr">
        <is>
          <t>Hardware / Sensores</t>
        </is>
      </c>
      <c r="C15" s="28" t="inlineStr">
        <is>
          <t>Montaje y cableado de sensores en la maqueta</t>
        </is>
      </c>
      <c r="D15" s="28" t="inlineStr">
        <is>
          <t>Técnico</t>
        </is>
      </c>
      <c r="E15" s="47" t="n">
        <v>21</v>
      </c>
      <c r="F15" s="28" t="inlineStr">
        <is>
          <t>Armado estructural</t>
        </is>
      </c>
      <c r="G15" s="28" t="inlineStr">
        <is>
          <t>Por hacer</t>
        </is>
      </c>
      <c r="H15" s="30" t="inlineStr">
        <is>
          <t>Esto es en paralelo. Los sensores aún no están instalados en la maqueta (18-oct-2026).</t>
        </is>
      </c>
      <c r="I15" s="28" t="inlineStr">
        <is>
          <t>Plan original</t>
        </is>
      </c>
      <c r="J15" s="74">
        <f>IF($I15="Plan original",INDEX('Roadmap Sprints'!$B$2:$B$9,MATCH(IF($A15="Cierre","Semana de cierre",$A15),'Roadmap Sprints'!$A$2:$A$9,0)),"")</f>
        <v/>
      </c>
      <c r="K15" s="74">
        <f>IF($I15="Plan original",INDEX('Roadmap Sprints'!$C$2:$C$9,MATCH(IF($A15="Cierre","Semana de cierre",$A15),'Roadmap Sprints'!$A$2:$A$9,0)),"")</f>
        <v/>
      </c>
      <c r="L15" s="75" t="n"/>
      <c r="M15" s="76">
        <f>IF(J15="","",NETWORKDAYS(J15,K15))</f>
        <v/>
      </c>
      <c r="N15" s="76">
        <f>IF(J15="","",IF(L15&lt;&gt;"",IF(L15&lt;J15,0,NETWORKDAYS(J15,L15)),IF(G15="Hecho","",IF(Avance!$B$2&lt;J15,0,NETWORKDAYS(J15,Avance!$B$2)))))</f>
        <v/>
      </c>
      <c r="O15" s="76">
        <f>IF(J15="","n/a",IF(L15&lt;&gt;"",L15-K15,IF(G15="Hecho","s/d",MAX(0,Avance!$B$2-K15))))</f>
        <v/>
      </c>
      <c r="P15" s="77">
        <f>IF(ISNUMBER(O15),ROUND(O15/7,1),O15)</f>
        <v/>
      </c>
      <c r="Q15" s="28">
        <f>IF(J15="","No planificada",IF(G15="Hecho",IF(L15="","Hecha (sin fecha)",IF(L15&gt;K15,"Hecha con atraso","Hecha a tiempo")),IF(Avance!$B$2&gt;K15,"Pendiente atrasada","Pendiente en plazo")))</f>
        <v/>
      </c>
      <c r="R15" s="100" t="inlineStr">
        <is>
          <t>HT-03</t>
        </is>
      </c>
    </row>
    <row r="16">
      <c r="A16" s="26" t="inlineStr">
        <is>
          <t>Sprint 3</t>
        </is>
      </c>
      <c r="B16" s="28" t="inlineStr">
        <is>
          <t>Backend / Firebase</t>
        </is>
      </c>
      <c r="C16" s="28" t="inlineStr">
        <is>
          <t>Cloud Function de ingesta de datos reales del gateway → Firestore/Realtime DB</t>
        </is>
      </c>
      <c r="D16" s="28" t="inlineStr">
        <is>
          <t>Humberto</t>
        </is>
      </c>
      <c r="E16" s="47" t="n">
        <v>5</v>
      </c>
      <c r="F16" s="28" t="inlineStr">
        <is>
          <t>Función con datos simulados</t>
        </is>
      </c>
      <c r="G16" s="28" t="inlineStr">
        <is>
          <t>Hecho</t>
        </is>
      </c>
      <c r="H16" s="30" t="inlineStr">
        <is>
          <t>Implementada por Humberto (en el plan figuraba Tamara). ttnUplink desplegada; falta probarla con el sensor real.</t>
        </is>
      </c>
      <c r="I16" s="28" t="inlineStr">
        <is>
          <t>Plan original</t>
        </is>
      </c>
      <c r="J16" s="74">
        <f>IF($I16="Plan original",INDEX('Roadmap Sprints'!$B$2:$B$9,MATCH(IF($A16="Cierre","Semana de cierre",$A16),'Roadmap Sprints'!$A$2:$A$9,0)),"")</f>
        <v/>
      </c>
      <c r="K16" s="74">
        <f>IF($I16="Plan original",INDEX('Roadmap Sprints'!$C$2:$C$9,MATCH(IF($A16="Cierre","Semana de cierre",$A16),'Roadmap Sprints'!$A$2:$A$9,0)),"")</f>
        <v/>
      </c>
      <c r="L16" s="75" t="n">
        <v>46291</v>
      </c>
      <c r="M16" s="76">
        <f>IF(J16="","",NETWORKDAYS(J16,K16))</f>
        <v/>
      </c>
      <c r="N16" s="76">
        <f>IF(J16="","",IF(L16&lt;&gt;"",IF(L16&lt;J16,0,NETWORKDAYS(J16,L16)),IF(G16="Hecho","",IF(Avance!$B$2&lt;J16,0,NETWORKDAYS(J16,Avance!$B$2)))))</f>
        <v/>
      </c>
      <c r="O16" s="76">
        <f>IF(J16="","n/a",IF(L16&lt;&gt;"",L16-K16,IF(G16="Hecho","s/d",MAX(0,Avance!$B$2-K16))))</f>
        <v/>
      </c>
      <c r="P16" s="77">
        <f>IF(ISNUMBER(O16),ROUND(O16/7,1),O16)</f>
        <v/>
      </c>
      <c r="Q16" s="28">
        <f>IF(J16="","No planificada",IF(G16="Hecho",IF(L16="","Hecha (sin fecha)",IF(L16&gt;K16,"Hecha con atraso","Hecha a tiempo")),IF(Avance!$B$2&gt;K16,"Pendiente atrasada","Pendiente en plazo")))</f>
        <v/>
      </c>
      <c r="R16" s="100" t="inlineStr">
        <is>
          <t>HU-12</t>
        </is>
      </c>
    </row>
    <row r="17">
      <c r="A17" s="26" t="inlineStr">
        <is>
          <t>Sprint 3</t>
        </is>
      </c>
      <c r="B17" s="28" t="inlineStr">
        <is>
          <t>Frontend / Dashboard</t>
        </is>
      </c>
      <c r="C17" s="28" t="inlineStr">
        <is>
          <t>Esqueleto de dashboard con gráficos en tiempo real (librería de charts)</t>
        </is>
      </c>
      <c r="D17" s="28" t="inlineStr">
        <is>
          <t>Cristian</t>
        </is>
      </c>
      <c r="E17" s="47" t="n">
        <v>5</v>
      </c>
      <c r="F17" s="28" t="inlineStr">
        <is>
          <t>Scaffolding app web</t>
        </is>
      </c>
      <c r="G17" s="28" t="inlineStr">
        <is>
          <t>Hecho</t>
        </is>
      </c>
      <c r="H17" s="30" t="inlineStr">
        <is>
          <t>Dashboard desplegado en https://stormcip-972bd.web.app (SPRINT3.md).</t>
        </is>
      </c>
      <c r="I17" s="28" t="inlineStr">
        <is>
          <t>Plan original</t>
        </is>
      </c>
      <c r="J17" s="74">
        <f>IF($I17="Plan original",INDEX('Roadmap Sprints'!$B$2:$B$9,MATCH(IF($A17="Cierre","Semana de cierre",$A17),'Roadmap Sprints'!$A$2:$A$9,0)),"")</f>
        <v/>
      </c>
      <c r="K17" s="74">
        <f>IF($I17="Plan original",INDEX('Roadmap Sprints'!$C$2:$C$9,MATCH(IF($A17="Cierre","Semana de cierre",$A17),'Roadmap Sprints'!$A$2:$A$9,0)),"")</f>
        <v/>
      </c>
      <c r="L17" s="75" t="n">
        <v>46296</v>
      </c>
      <c r="M17" s="76">
        <f>IF(J17="","",NETWORKDAYS(J17,K17))</f>
        <v/>
      </c>
      <c r="N17" s="76">
        <f>IF(J17="","",IF(L17&lt;&gt;"",IF(L17&lt;J17,0,NETWORKDAYS(J17,L17)),IF(G17="Hecho","",IF(Avance!$B$2&lt;J17,0,NETWORKDAYS(J17,Avance!$B$2)))))</f>
        <v/>
      </c>
      <c r="O17" s="76">
        <f>IF(J17="","n/a",IF(L17&lt;&gt;"",L17-K17,IF(G17="Hecho","s/d",MAX(0,Avance!$B$2-K17))))</f>
        <v/>
      </c>
      <c r="P17" s="77">
        <f>IF(ISNUMBER(O17),ROUND(O17/7,1),O17)</f>
        <v/>
      </c>
      <c r="Q17" s="28">
        <f>IF(J17="","No planificada",IF(G17="Hecho",IF(L17="","Hecha (sin fecha)",IF(L17&gt;K17,"Hecha con atraso","Hecha a tiempo")),IF(Avance!$B$2&gt;K17,"Pendiente atrasada","Pendiente en plazo")))</f>
        <v/>
      </c>
      <c r="R17" s="100" t="inlineStr">
        <is>
          <t>HU-01</t>
        </is>
      </c>
    </row>
    <row r="18">
      <c r="A18" s="26" t="inlineStr">
        <is>
          <t>Sprint 3</t>
        </is>
      </c>
      <c r="B18" s="28" t="inlineStr">
        <is>
          <t>Análisis Predictivo</t>
        </is>
      </c>
      <c r="C18" s="28" t="inlineStr">
        <is>
          <t>Integrar el modelo ML entrenado al backend (Cloud Function que sirva predicciones)</t>
        </is>
      </c>
      <c r="D18" s="28" t="inlineStr">
        <is>
          <t>Dev Backend</t>
        </is>
      </c>
      <c r="E18" s="47" t="n">
        <v>4</v>
      </c>
      <c r="F18" s="28" t="inlineStr">
        <is>
          <t>Modelo entrenado con datos simulados</t>
        </is>
      </c>
      <c r="G18" s="28" t="inlineStr">
        <is>
          <t>Por hacer</t>
        </is>
      </c>
      <c r="H18" s="30" t="inlineStr">
        <is>
          <t>Esto más adelante. No entregado en Sprint 3 (SPRINT3.md §3); depende de entrenar el primer modelo.</t>
        </is>
      </c>
      <c r="I18" s="28" t="inlineStr">
        <is>
          <t>Plan original</t>
        </is>
      </c>
      <c r="J18" s="74">
        <f>IF($I18="Plan original",INDEX('Roadmap Sprints'!$B$2:$B$9,MATCH(IF($A18="Cierre","Semana de cierre",$A18),'Roadmap Sprints'!$A$2:$A$9,0)),"")</f>
        <v/>
      </c>
      <c r="K18" s="74">
        <f>IF($I18="Plan original",INDEX('Roadmap Sprints'!$C$2:$C$9,MATCH(IF($A18="Cierre","Semana de cierre",$A18),'Roadmap Sprints'!$A$2:$A$9,0)),"")</f>
        <v/>
      </c>
      <c r="L18" s="75" t="n"/>
      <c r="M18" s="76">
        <f>IF(J18="","",NETWORKDAYS(J18,K18))</f>
        <v/>
      </c>
      <c r="N18" s="76">
        <f>IF(J18="","",IF(L18&lt;&gt;"",IF(L18&lt;J18,0,NETWORKDAYS(J18,L18)),IF(G18="Hecho","",IF(Avance!$B$2&lt;J18,0,NETWORKDAYS(J18,Avance!$B$2)))))</f>
        <v/>
      </c>
      <c r="O18" s="76">
        <f>IF(J18="","n/a",IF(L18&lt;&gt;"",L18-K18,IF(G18="Hecho","s/d",MAX(0,Avance!$B$2-K18))))</f>
        <v/>
      </c>
      <c r="P18" s="77">
        <f>IF(ISNUMBER(O18),ROUND(O18/7,1),O18)</f>
        <v/>
      </c>
      <c r="Q18" s="28">
        <f>IF(J18="","No planificada",IF(G18="Hecho",IF(L18="","Hecha (sin fecha)",IF(L18&gt;K18,"Hecha con atraso","Hecha a tiempo")),IF(Avance!$B$2&gt;K18,"Pendiente atrasada","Pendiente en plazo")))</f>
        <v/>
      </c>
      <c r="R18" s="100" t="inlineStr">
        <is>
          <t>HU-07</t>
        </is>
      </c>
    </row>
    <row r="19">
      <c r="A19" s="26" t="inlineStr">
        <is>
          <t>Sprint 3</t>
        </is>
      </c>
      <c r="B19" s="28" t="inlineStr">
        <is>
          <t>Hardware / Sensores</t>
        </is>
      </c>
      <c r="C19" s="28" t="inlineStr">
        <is>
          <t>Reunir información técnica de los sensores LoRaWAN (WQS-LB) en la carpeta de evidencias</t>
        </is>
      </c>
      <c r="D19" s="28" t="inlineStr">
        <is>
          <t>Felipe</t>
        </is>
      </c>
      <c r="E19" s="47" t="n">
        <v>1</v>
      </c>
      <c r="F19" s="28" t="inlineStr">
        <is>
          <t>-</t>
        </is>
      </c>
      <c r="G19" s="28" t="inlineStr">
        <is>
          <t>Hecho</t>
        </is>
      </c>
      <c r="H19" s="30" t="inlineStr">
        <is>
          <t>Commits b1debe1 y 0c1f9b2 (21-sep). Datasheet, certificaciones y firmware. [Estimación retroactiva]</t>
        </is>
      </c>
      <c r="I19" s="28" t="inlineStr">
        <is>
          <t>Agregada (no planificada)</t>
        </is>
      </c>
      <c r="J19" s="74">
        <f>IF($I19="Plan original",INDEX('Roadmap Sprints'!$B$2:$B$9,MATCH(IF($A19="Cierre","Semana de cierre",$A19),'Roadmap Sprints'!$A$2:$A$9,0)),"")</f>
        <v/>
      </c>
      <c r="K19" s="74">
        <f>IF($I19="Plan original",INDEX('Roadmap Sprints'!$C$2:$C$9,MATCH(IF($A19="Cierre","Semana de cierre",$A19),'Roadmap Sprints'!$A$2:$A$9,0)),"")</f>
        <v/>
      </c>
      <c r="L19" s="75" t="n">
        <v>46286</v>
      </c>
      <c r="M19" s="76">
        <f>IF(J19="","",NETWORKDAYS(J19,K19))</f>
        <v/>
      </c>
      <c r="N19" s="76">
        <f>IF(J19="","",IF(L19&lt;&gt;"",IF(L19&lt;J19,0,NETWORKDAYS(J19,L19)),IF(G19="Hecho","",IF(Avance!$B$2&lt;J19,0,NETWORKDAYS(J19,Avance!$B$2)))))</f>
        <v/>
      </c>
      <c r="O19" s="76">
        <f>IF(J19="","n/a",IF(L19&lt;&gt;"",L19-K19,IF(G19="Hecho","s/d",MAX(0,Avance!$B$2-K19))))</f>
        <v/>
      </c>
      <c r="P19" s="77">
        <f>IF(ISNUMBER(O19),ROUND(O19/7,1),O19)</f>
        <v/>
      </c>
      <c r="Q19" s="28">
        <f>IF(J19="","No planificada",IF(G19="Hecho",IF(L19="","Hecha (sin fecha)",IF(L19&gt;K19,"Hecha con atraso","Hecha a tiempo")),IF(Avance!$B$2&gt;K19,"Pendiente atrasada","Pendiente en plazo")))</f>
        <v/>
      </c>
      <c r="R19" s="100" t="inlineStr">
        <is>
          <t>HT-03</t>
        </is>
      </c>
    </row>
    <row r="20">
      <c r="A20" s="26" t="inlineStr">
        <is>
          <t>Sprint 3</t>
        </is>
      </c>
      <c r="B20" s="28" t="inlineStr">
        <is>
          <t>Backend / Firebase</t>
        </is>
      </c>
      <c r="C20" s="28" t="inlineStr">
        <is>
          <t>Diseño de datos de las sondas WQS y validación de rango físico</t>
        </is>
      </c>
      <c r="D20" s="28" t="inlineStr">
        <is>
          <t>Humberto</t>
        </is>
      </c>
      <c r="E20" s="47" t="n">
        <v>2</v>
      </c>
      <c r="F20" s="28" t="inlineStr">
        <is>
          <t>Información técnica de sensores</t>
        </is>
      </c>
      <c r="G20" s="28" t="inlineStr">
        <is>
          <t>Hecho</t>
        </is>
      </c>
      <c r="H20" s="30" t="inlineStr">
        <is>
          <t>Commit 8d55ccc (25-sep). Base de datos/modelo-datos-sensores.md. [Estimación retroactiva]</t>
        </is>
      </c>
      <c r="I20" s="28" t="inlineStr">
        <is>
          <t>Agregada (no planificada)</t>
        </is>
      </c>
      <c r="J20" s="74">
        <f>IF($I20="Plan original",INDEX('Roadmap Sprints'!$B$2:$B$9,MATCH(IF($A20="Cierre","Semana de cierre",$A20),'Roadmap Sprints'!$A$2:$A$9,0)),"")</f>
        <v/>
      </c>
      <c r="K20" s="74">
        <f>IF($I20="Plan original",INDEX('Roadmap Sprints'!$C$2:$C$9,MATCH(IF($A20="Cierre","Semana de cierre",$A20),'Roadmap Sprints'!$A$2:$A$9,0)),"")</f>
        <v/>
      </c>
      <c r="L20" s="75" t="n">
        <v>46290</v>
      </c>
      <c r="M20" s="76">
        <f>IF(J20="","",NETWORKDAYS(J20,K20))</f>
        <v/>
      </c>
      <c r="N20" s="76">
        <f>IF(J20="","",IF(L20&lt;&gt;"",IF(L20&lt;J20,0,NETWORKDAYS(J20,L20)),IF(G20="Hecho","",IF(Avance!$B$2&lt;J20,0,NETWORKDAYS(J20,Avance!$B$2)))))</f>
        <v/>
      </c>
      <c r="O20" s="76">
        <f>IF(J20="","n/a",IF(L20&lt;&gt;"",L20-K20,IF(G20="Hecho","s/d",MAX(0,Avance!$B$2-K20))))</f>
        <v/>
      </c>
      <c r="P20" s="77">
        <f>IF(ISNUMBER(O20),ROUND(O20/7,1),O20)</f>
        <v/>
      </c>
      <c r="Q20" s="28">
        <f>IF(J20="","No planificada",IF(G20="Hecho",IF(L20="","Hecha (sin fecha)",IF(L20&gt;K20,"Hecha con atraso","Hecha a tiempo")),IF(Avance!$B$2&gt;K20,"Pendiente atrasada","Pendiente en plazo")))</f>
        <v/>
      </c>
      <c r="R20" s="100" t="inlineStr">
        <is>
          <t>HT-02</t>
        </is>
      </c>
    </row>
    <row r="21" ht="15.75" customHeight="1" s="51">
      <c r="A21" s="26" t="inlineStr">
        <is>
          <t>Sprint 3</t>
        </is>
      </c>
      <c r="B21" s="28" t="inlineStr">
        <is>
          <t>Backend / Firebase</t>
        </is>
      </c>
      <c r="C21" s="28" t="inlineStr">
        <is>
          <t>Documentar arquitectura LoRaWAN -&gt; The Things Stack -&gt; backend e implementar el adaptador LoRaWAN</t>
        </is>
      </c>
      <c r="D21" s="28" t="inlineStr">
        <is>
          <t>Humberto</t>
        </is>
      </c>
      <c r="E21" s="47" t="n">
        <v>3</v>
      </c>
      <c r="F21" s="28" t="inlineStr">
        <is>
          <t>Diseño de datos de sondas</t>
        </is>
      </c>
      <c r="G21" s="28" t="inlineStr">
        <is>
          <t>Hecho</t>
        </is>
      </c>
      <c r="H21" s="30" t="inlineStr">
        <is>
          <t>Commits 44b3b02 y b22a97b (25/26-sep). functions/src/lorawanAdapter.ts. [Estimación retroactiva]</t>
        </is>
      </c>
      <c r="I21" s="28" t="inlineStr">
        <is>
          <t>Agregada (no planificada)</t>
        </is>
      </c>
      <c r="J21" s="74">
        <f>IF($I21="Plan original",INDEX('Roadmap Sprints'!$B$2:$B$9,MATCH(IF($A21="Cierre","Semana de cierre",$A21),'Roadmap Sprints'!$A$2:$A$9,0)),"")</f>
        <v/>
      </c>
      <c r="K21" s="74">
        <f>IF($I21="Plan original",INDEX('Roadmap Sprints'!$C$2:$C$9,MATCH(IF($A21="Cierre","Semana de cierre",$A21),'Roadmap Sprints'!$A$2:$A$9,0)),"")</f>
        <v/>
      </c>
      <c r="L21" s="75" t="n">
        <v>46291</v>
      </c>
      <c r="M21" s="76">
        <f>IF(J21="","",NETWORKDAYS(J21,K21))</f>
        <v/>
      </c>
      <c r="N21" s="76">
        <f>IF(J21="","",IF(L21&lt;&gt;"",IF(L21&lt;J21,0,NETWORKDAYS(J21,L21)),IF(G21="Hecho","",IF(Avance!$B$2&lt;J21,0,NETWORKDAYS(J21,Avance!$B$2)))))</f>
        <v/>
      </c>
      <c r="O21" s="76">
        <f>IF(J21="","n/a",IF(L21&lt;&gt;"",L21-K21,IF(G21="Hecho","s/d",MAX(0,Avance!$B$2-K21))))</f>
        <v/>
      </c>
      <c r="P21" s="77">
        <f>IF(ISNUMBER(O21),ROUND(O21/7,1),O21)</f>
        <v/>
      </c>
      <c r="Q21" s="28">
        <f>IF(J21="","No planificada",IF(G21="Hecho",IF(L21="","Hecha (sin fecha)",IF(L21&gt;K21,"Hecha con atraso","Hecha a tiempo")),IF(Avance!$B$2&gt;K21,"Pendiente atrasada","Pendiente en plazo")))</f>
        <v/>
      </c>
      <c r="R21" s="100" t="inlineStr">
        <is>
          <t>HU-12</t>
        </is>
      </c>
    </row>
    <row r="22" ht="15.75" customHeight="1" s="51">
      <c r="A22" s="26" t="inlineStr">
        <is>
          <t>Sprint 3</t>
        </is>
      </c>
      <c r="B22" s="28" t="inlineStr">
        <is>
          <t>Backend / Firebase</t>
        </is>
      </c>
      <c r="C22" s="28" t="inlineStr">
        <is>
          <t>Decoder propio del WQS-LB por versión de firmware, con validación de largo y tests</t>
        </is>
      </c>
      <c r="D22" s="28" t="inlineStr">
        <is>
          <t>Humberto</t>
        </is>
      </c>
      <c r="E22" s="47" t="n">
        <v>4</v>
      </c>
      <c r="F22" s="28" t="inlineStr">
        <is>
          <t>Adaptador LoRaWAN</t>
        </is>
      </c>
      <c r="G22" s="28" t="inlineStr">
        <is>
          <t>Hecho</t>
        </is>
      </c>
      <c r="H22" s="30" t="inlineStr">
        <is>
          <t>Commit cc59b42 (26-sep). wqsDecoder.ts; no se usa el decoder de Dragino (corresponde a firmware 1.1). [Estimación retroactiva]</t>
        </is>
      </c>
      <c r="I22" s="28" t="inlineStr">
        <is>
          <t>Agregada (no planificada)</t>
        </is>
      </c>
      <c r="J22" s="74">
        <f>IF($I22="Plan original",INDEX('Roadmap Sprints'!$B$2:$B$9,MATCH(IF($A22="Cierre","Semana de cierre",$A22),'Roadmap Sprints'!$A$2:$A$9,0)),"")</f>
        <v/>
      </c>
      <c r="K22" s="74">
        <f>IF($I22="Plan original",INDEX('Roadmap Sprints'!$C$2:$C$9,MATCH(IF($A22="Cierre","Semana de cierre",$A22),'Roadmap Sprints'!$A$2:$A$9,0)),"")</f>
        <v/>
      </c>
      <c r="L22" s="75" t="n">
        <v>46291</v>
      </c>
      <c r="M22" s="76">
        <f>IF(J22="","",NETWORKDAYS(J22,K22))</f>
        <v/>
      </c>
      <c r="N22" s="76">
        <f>IF(J22="","",IF(L22&lt;&gt;"",IF(L22&lt;J22,0,NETWORKDAYS(J22,L22)),IF(G22="Hecho","",IF(Avance!$B$2&lt;J22,0,NETWORKDAYS(J22,Avance!$B$2)))))</f>
        <v/>
      </c>
      <c r="O22" s="76">
        <f>IF(J22="","n/a",IF(L22&lt;&gt;"",L22-K22,IF(G22="Hecho","s/d",MAX(0,Avance!$B$2-K22))))</f>
        <v/>
      </c>
      <c r="P22" s="77">
        <f>IF(ISNUMBER(O22),ROUND(O22/7,1),O22)</f>
        <v/>
      </c>
      <c r="Q22" s="28">
        <f>IF(J22="","No planificada",IF(G22="Hecho",IF(L22="","Hecha (sin fecha)",IF(L22&gt;K22,"Hecha con atraso","Hecha a tiempo")),IF(Avance!$B$2&gt;K22,"Pendiente atrasada","Pendiente en plazo")))</f>
        <v/>
      </c>
      <c r="R22" s="100" t="inlineStr">
        <is>
          <t>HU-12</t>
        </is>
      </c>
    </row>
    <row r="23" ht="15.75" customHeight="1" s="51">
      <c r="A23" s="26" t="inlineStr">
        <is>
          <t>Sprint 3</t>
        </is>
      </c>
      <c r="B23" s="28" t="inlineStr">
        <is>
          <t>QA / DevOps / Documentación</t>
        </is>
      </c>
      <c r="C23" s="28" t="inlineStr">
        <is>
          <t>Documentación para el equipo: CLAUDE.MD y documento explicativo del sistema de sensores</t>
        </is>
      </c>
      <c r="D23" s="28" t="inlineStr">
        <is>
          <t>Humberto</t>
        </is>
      </c>
      <c r="E23" s="47" t="n">
        <v>1</v>
      </c>
      <c r="F23" s="28" t="inlineStr">
        <is>
          <t>-</t>
        </is>
      </c>
      <c r="G23" s="28" t="inlineStr">
        <is>
          <t>Hecho</t>
        </is>
      </c>
      <c r="H23" s="30" t="inlineStr">
        <is>
          <t>Commits 9a33f38, 9f36c20 (26-sep). [Estimación retroactiva]</t>
        </is>
      </c>
      <c r="I23" s="28" t="inlineStr">
        <is>
          <t>Agregada (no planificada)</t>
        </is>
      </c>
      <c r="J23" s="74">
        <f>IF($I23="Plan original",INDEX('Roadmap Sprints'!$B$2:$B$9,MATCH(IF($A23="Cierre","Semana de cierre",$A23),'Roadmap Sprints'!$A$2:$A$9,0)),"")</f>
        <v/>
      </c>
      <c r="K23" s="74">
        <f>IF($I23="Plan original",INDEX('Roadmap Sprints'!$C$2:$C$9,MATCH(IF($A23="Cierre","Semana de cierre",$A23),'Roadmap Sprints'!$A$2:$A$9,0)),"")</f>
        <v/>
      </c>
      <c r="L23" s="75" t="n">
        <v>46291</v>
      </c>
      <c r="M23" s="76">
        <f>IF(J23="","",NETWORKDAYS(J23,K23))</f>
        <v/>
      </c>
      <c r="N23" s="76">
        <f>IF(J23="","",IF(L23&lt;&gt;"",IF(L23&lt;J23,0,NETWORKDAYS(J23,L23)),IF(G23="Hecho","",IF(Avance!$B$2&lt;J23,0,NETWORKDAYS(J23,Avance!$B$2)))))</f>
        <v/>
      </c>
      <c r="O23" s="76">
        <f>IF(J23="","n/a",IF(L23&lt;&gt;"",L23-K23,IF(G23="Hecho","s/d",MAX(0,Avance!$B$2-K23))))</f>
        <v/>
      </c>
      <c r="P23" s="77">
        <f>IF(ISNUMBER(O23),ROUND(O23/7,1),O23)</f>
        <v/>
      </c>
      <c r="Q23" s="28">
        <f>IF(J23="","No planificada",IF(G23="Hecho",IF(L23="","Hecha (sin fecha)",IF(L23&gt;K23,"Hecha con atraso","Hecha a tiempo")),IF(Avance!$B$2&gt;K23,"Pendiente atrasada","Pendiente en plazo")))</f>
        <v/>
      </c>
      <c r="R23" s="100" t="inlineStr">
        <is>
          <t>HT-05</t>
        </is>
      </c>
    </row>
    <row r="24" ht="15.75" customHeight="1" s="51">
      <c r="A24" s="26" t="inlineStr">
        <is>
          <t>Sprint 3</t>
        </is>
      </c>
      <c r="B24" s="28" t="inlineStr">
        <is>
          <t>QA / DevOps / Documentación</t>
        </is>
      </c>
      <c r="C24" s="28" t="inlineStr">
        <is>
          <t>Scripts con PROJECT_ID centralizado y caso de idempotencia en las pruebas</t>
        </is>
      </c>
      <c r="D24" s="28" t="inlineStr">
        <is>
          <t>Humberto</t>
        </is>
      </c>
      <c r="E24" s="47" t="n">
        <v>1</v>
      </c>
      <c r="F24" s="28" t="inlineStr">
        <is>
          <t>-</t>
        </is>
      </c>
      <c r="G24" s="28" t="inlineStr">
        <is>
          <t>Hecho</t>
        </is>
      </c>
      <c r="H24" s="30" t="inlineStr">
        <is>
          <t>Commit 84da283 (26-sep). [Estimación retroactiva]</t>
        </is>
      </c>
      <c r="I24" s="28" t="inlineStr">
        <is>
          <t>Agregada (no planificada)</t>
        </is>
      </c>
      <c r="J24" s="74">
        <f>IF($I24="Plan original",INDEX('Roadmap Sprints'!$B$2:$B$9,MATCH(IF($A24="Cierre","Semana de cierre",$A24),'Roadmap Sprints'!$A$2:$A$9,0)),"")</f>
        <v/>
      </c>
      <c r="K24" s="74">
        <f>IF($I24="Plan original",INDEX('Roadmap Sprints'!$C$2:$C$9,MATCH(IF($A24="Cierre","Semana de cierre",$A24),'Roadmap Sprints'!$A$2:$A$9,0)),"")</f>
        <v/>
      </c>
      <c r="L24" s="75" t="n">
        <v>46291</v>
      </c>
      <c r="M24" s="76">
        <f>IF(J24="","",NETWORKDAYS(J24,K24))</f>
        <v/>
      </c>
      <c r="N24" s="76">
        <f>IF(J24="","",IF(L24&lt;&gt;"",IF(L24&lt;J24,0,NETWORKDAYS(J24,L24)),IF(G24="Hecho","",IF(Avance!$B$2&lt;J24,0,NETWORKDAYS(J24,Avance!$B$2)))))</f>
        <v/>
      </c>
      <c r="O24" s="76">
        <f>IF(J24="","n/a",IF(L24&lt;&gt;"",L24-K24,IF(G24="Hecho","s/d",MAX(0,Avance!$B$2-K24))))</f>
        <v/>
      </c>
      <c r="P24" s="77">
        <f>IF(ISNUMBER(O24),ROUND(O24/7,1),O24)</f>
        <v/>
      </c>
      <c r="Q24" s="28">
        <f>IF(J24="","No planificada",IF(G24="Hecho",IF(L24="","Hecha (sin fecha)",IF(L24&gt;K24,"Hecha con atraso","Hecha a tiempo")),IF(Avance!$B$2&gt;K24,"Pendiente atrasada","Pendiente en plazo")))</f>
        <v/>
      </c>
      <c r="R24" s="100" t="inlineStr">
        <is>
          <t>HT-04</t>
        </is>
      </c>
    </row>
    <row r="25" ht="15.75" customHeight="1" s="51">
      <c r="A25" s="26" t="inlineStr">
        <is>
          <t>Sprint 3</t>
        </is>
      </c>
      <c r="B25" s="28" t="inlineStr">
        <is>
          <t>Backend / Firebase</t>
        </is>
      </c>
      <c r="C25" s="28" t="inlineStr">
        <is>
          <t>Preparar el despliegue a producción: secreto en Secret Manager, guía DESPLIEGUE.md, runtime Node 22 y región de onUserCreated</t>
        </is>
      </c>
      <c r="D25" s="28" t="inlineStr">
        <is>
          <t>Humberto</t>
        </is>
      </c>
      <c r="E25" s="47" t="n">
        <v>3</v>
      </c>
      <c r="F25" s="28" t="inlineStr">
        <is>
          <t>Proyecto Firebase creado</t>
        </is>
      </c>
      <c r="G25" s="28" t="inlineStr">
        <is>
          <t>Hecho</t>
        </is>
      </c>
      <c r="H25" s="30" t="inlineStr">
        <is>
          <t>Commits 9978091, 24f42ff, de1ec7b (29/30-sep). [Estimación retroactiva]</t>
        </is>
      </c>
      <c r="I25" s="28" t="inlineStr">
        <is>
          <t>Agregada (no planificada)</t>
        </is>
      </c>
      <c r="J25" s="74">
        <f>IF($I25="Plan original",INDEX('Roadmap Sprints'!$B$2:$B$9,MATCH(IF($A25="Cierre","Semana de cierre",$A25),'Roadmap Sprints'!$A$2:$A$9,0)),"")</f>
        <v/>
      </c>
      <c r="K25" s="74">
        <f>IF($I25="Plan original",INDEX('Roadmap Sprints'!$C$2:$C$9,MATCH(IF($A25="Cierre","Semana de cierre",$A25),'Roadmap Sprints'!$A$2:$A$9,0)),"")</f>
        <v/>
      </c>
      <c r="L25" s="75" t="n">
        <v>46295</v>
      </c>
      <c r="M25" s="76">
        <f>IF(J25="","",NETWORKDAYS(J25,K25))</f>
        <v/>
      </c>
      <c r="N25" s="76">
        <f>IF(J25="","",IF(L25&lt;&gt;"",IF(L25&lt;J25,0,NETWORKDAYS(J25,L25)),IF(G25="Hecho","",IF(Avance!$B$2&lt;J25,0,NETWORKDAYS(J25,Avance!$B$2)))))</f>
        <v/>
      </c>
      <c r="O25" s="76">
        <f>IF(J25="","n/a",IF(L25&lt;&gt;"",L25-K25,IF(G25="Hecho","s/d",MAX(0,Avance!$B$2-K25))))</f>
        <v/>
      </c>
      <c r="P25" s="77">
        <f>IF(ISNUMBER(O25),ROUND(O25/7,1),O25)</f>
        <v/>
      </c>
      <c r="Q25" s="28">
        <f>IF(J25="","No planificada",IF(G25="Hecho",IF(L25="","Hecha (sin fecha)",IF(L25&gt;K25,"Hecha con atraso","Hecha a tiempo")),IF(Avance!$B$2&gt;K25,"Pendiente atrasada","Pendiente en plazo")))</f>
        <v/>
      </c>
      <c r="R25" s="100" t="inlineStr">
        <is>
          <t>HT-01</t>
        </is>
      </c>
    </row>
    <row r="26" ht="15.75" customHeight="1" s="51">
      <c r="A26" s="26" t="inlineStr">
        <is>
          <t>Sprint 3</t>
        </is>
      </c>
      <c r="B26" s="28" t="inlineStr">
        <is>
          <t>Backend / Firebase</t>
        </is>
      </c>
      <c r="C26" s="28" t="inlineStr">
        <is>
          <t>Trigger de cierre de ciclo que calcula indicadores (tiempo hasta limpio, arrastre químico, pendiente de conductividad, volumen estimado)</t>
        </is>
      </c>
      <c r="D26" s="28" t="inlineStr">
        <is>
          <t>Cristian</t>
        </is>
      </c>
      <c r="E26" s="47" t="n">
        <v>4</v>
      </c>
      <c r="F26" s="28" t="inlineStr">
        <is>
          <t>Ingesta de datos</t>
        </is>
      </c>
      <c r="G26" s="28" t="inlineStr">
        <is>
          <t>Hecho</t>
        </is>
      </c>
      <c r="H26" s="30" t="inlineStr">
        <is>
          <t>Commit 831c580 (01-oct). functions/src/ciclos.ts y calculos.ts. [Estimación retroactiva]</t>
        </is>
      </c>
      <c r="I26" s="28" t="inlineStr">
        <is>
          <t>Agregada (no planificada)</t>
        </is>
      </c>
      <c r="J26" s="74">
        <f>IF($I26="Plan original",INDEX('Roadmap Sprints'!$B$2:$B$9,MATCH(IF($A26="Cierre","Semana de cierre",$A26),'Roadmap Sprints'!$A$2:$A$9,0)),"")</f>
        <v/>
      </c>
      <c r="K26" s="74">
        <f>IF($I26="Plan original",INDEX('Roadmap Sprints'!$C$2:$C$9,MATCH(IF($A26="Cierre","Semana de cierre",$A26),'Roadmap Sprints'!$A$2:$A$9,0)),"")</f>
        <v/>
      </c>
      <c r="L26" s="75" t="n">
        <v>46296</v>
      </c>
      <c r="M26" s="76">
        <f>IF(J26="","",NETWORKDAYS(J26,K26))</f>
        <v/>
      </c>
      <c r="N26" s="76">
        <f>IF(J26="","",IF(L26&lt;&gt;"",IF(L26&lt;J26,0,NETWORKDAYS(J26,L26)),IF(G26="Hecho","",IF(Avance!$B$2&lt;J26,0,NETWORKDAYS(J26,Avance!$B$2)))))</f>
        <v/>
      </c>
      <c r="O26" s="76">
        <f>IF(J26="","n/a",IF(L26&lt;&gt;"",L26-K26,IF(G26="Hecho","s/d",MAX(0,Avance!$B$2-K26))))</f>
        <v/>
      </c>
      <c r="P26" s="77">
        <f>IF(ISNUMBER(O26),ROUND(O26/7,1),O26)</f>
        <v/>
      </c>
      <c r="Q26" s="28">
        <f>IF(J26="","No planificada",IF(G26="Hecho",IF(L26="","Hecha (sin fecha)",IF(L26&gt;K26,"Hecha con atraso","Hecha a tiempo")),IF(Avance!$B$2&gt;K26,"Pendiente atrasada","Pendiente en plazo")))</f>
        <v/>
      </c>
      <c r="R26" s="100" t="inlineStr">
        <is>
          <t>HU-06</t>
        </is>
      </c>
    </row>
    <row r="27" ht="15.75" customHeight="1" s="51">
      <c r="A27" s="26" t="inlineStr">
        <is>
          <t>Sprint 3</t>
        </is>
      </c>
      <c r="B27" s="28" t="inlineStr">
        <is>
          <t>Frontend / Dashboard</t>
        </is>
      </c>
      <c r="C27" s="28" t="inlineStr">
        <is>
          <t>Sección de indicadores del ciclo en el dashboard (medido vs estimado) y regla de grupo de colección para el histórico</t>
        </is>
      </c>
      <c r="D27" s="28" t="inlineStr">
        <is>
          <t>Cristian</t>
        </is>
      </c>
      <c r="E27" s="47" t="n">
        <v>2</v>
      </c>
      <c r="F27" s="28" t="inlineStr">
        <is>
          <t>Trigger de cierre de ciclo</t>
        </is>
      </c>
      <c r="G27" s="28" t="inlineStr">
        <is>
          <t>Hecho</t>
        </is>
      </c>
      <c r="H27" s="30" t="inlineStr">
        <is>
          <t>Commits 103fc10, 33094b7 (01-oct). [Estimación retroactiva]</t>
        </is>
      </c>
      <c r="I27" s="28" t="inlineStr">
        <is>
          <t>Agregada (no planificada)</t>
        </is>
      </c>
      <c r="J27" s="74">
        <f>IF($I27="Plan original",INDEX('Roadmap Sprints'!$B$2:$B$9,MATCH(IF($A27="Cierre","Semana de cierre",$A27),'Roadmap Sprints'!$A$2:$A$9,0)),"")</f>
        <v/>
      </c>
      <c r="K27" s="74">
        <f>IF($I27="Plan original",INDEX('Roadmap Sprints'!$C$2:$C$9,MATCH(IF($A27="Cierre","Semana de cierre",$A27),'Roadmap Sprints'!$A$2:$A$9,0)),"")</f>
        <v/>
      </c>
      <c r="L27" s="75" t="n">
        <v>46296</v>
      </c>
      <c r="M27" s="76">
        <f>IF(J27="","",NETWORKDAYS(J27,K27))</f>
        <v/>
      </c>
      <c r="N27" s="76">
        <f>IF(J27="","",IF(L27&lt;&gt;"",IF(L27&lt;J27,0,NETWORKDAYS(J27,L27)),IF(G27="Hecho","",IF(Avance!$B$2&lt;J27,0,NETWORKDAYS(J27,Avance!$B$2)))))</f>
        <v/>
      </c>
      <c r="O27" s="76">
        <f>IF(J27="","n/a",IF(L27&lt;&gt;"",L27-K27,IF(G27="Hecho","s/d",MAX(0,Avance!$B$2-K27))))</f>
        <v/>
      </c>
      <c r="P27" s="77">
        <f>IF(ISNUMBER(O27),ROUND(O27/7,1),O27)</f>
        <v/>
      </c>
      <c r="Q27" s="28">
        <f>IF(J27="","No planificada",IF(G27="Hecho",IF(L27="","Hecha (sin fecha)",IF(L27&gt;K27,"Hecha con atraso","Hecha a tiempo")),IF(Avance!$B$2&gt;K27,"Pendiente atrasada","Pendiente en plazo")))</f>
        <v/>
      </c>
      <c r="R27" s="100" t="inlineStr">
        <is>
          <t>HU-06</t>
        </is>
      </c>
    </row>
    <row r="28" ht="15.75" customHeight="1" s="51">
      <c r="A28" s="26" t="inlineStr">
        <is>
          <t>Sprint 3</t>
        </is>
      </c>
      <c r="B28" s="28" t="inlineStr">
        <is>
          <t>Backend / Firebase</t>
        </is>
      </c>
      <c r="C28" s="28" t="inlineStr">
        <is>
          <t>Scripts de seed, simulador y cierre de ciclo contra producción (sin credenciales en el código); migración al modelo v2</t>
        </is>
      </c>
      <c r="D28" s="28" t="inlineStr">
        <is>
          <t>Cristian</t>
        </is>
      </c>
      <c r="E28" s="47" t="n">
        <v>2</v>
      </c>
      <c r="F28" s="28" t="inlineStr">
        <is>
          <t>Modelo de datos</t>
        </is>
      </c>
      <c r="G28" s="28" t="inlineStr">
        <is>
          <t>Hecho</t>
        </is>
      </c>
      <c r="H28" s="30" t="inlineStr">
        <is>
          <t>Commits 779388c, 5e85914, 7e2b3d1 (01-oct). [Estimación retroactiva]</t>
        </is>
      </c>
      <c r="I28" s="28" t="inlineStr">
        <is>
          <t>Agregada (no planificada)</t>
        </is>
      </c>
      <c r="J28" s="74">
        <f>IF($I28="Plan original",INDEX('Roadmap Sprints'!$B$2:$B$9,MATCH(IF($A28="Cierre","Semana de cierre",$A28),'Roadmap Sprints'!$A$2:$A$9,0)),"")</f>
        <v/>
      </c>
      <c r="K28" s="74">
        <f>IF($I28="Plan original",INDEX('Roadmap Sprints'!$C$2:$C$9,MATCH(IF($A28="Cierre","Semana de cierre",$A28),'Roadmap Sprints'!$A$2:$A$9,0)),"")</f>
        <v/>
      </c>
      <c r="L28" s="75" t="n">
        <v>46296</v>
      </c>
      <c r="M28" s="76">
        <f>IF(J28="","",NETWORKDAYS(J28,K28))</f>
        <v/>
      </c>
      <c r="N28" s="76">
        <f>IF(J28="","",IF(L28&lt;&gt;"",IF(L28&lt;J28,0,NETWORKDAYS(J28,L28)),IF(G28="Hecho","",IF(Avance!$B$2&lt;J28,0,NETWORKDAYS(J28,Avance!$B$2)))))</f>
        <v/>
      </c>
      <c r="O28" s="76">
        <f>IF(J28="","n/a",IF(L28&lt;&gt;"",L28-K28,IF(G28="Hecho","s/d",MAX(0,Avance!$B$2-K28))))</f>
        <v/>
      </c>
      <c r="P28" s="77">
        <f>IF(ISNUMBER(O28),ROUND(O28/7,1),O28)</f>
        <v/>
      </c>
      <c r="Q28" s="28">
        <f>IF(J28="","No planificada",IF(G28="Hecho",IF(L28="","Hecha (sin fecha)",IF(L28&gt;K28,"Hecha con atraso","Hecha a tiempo")),IF(Avance!$B$2&gt;K28,"Pendiente atrasada","Pendiente en plazo")))</f>
        <v/>
      </c>
      <c r="R28" s="100" t="inlineStr">
        <is>
          <t>HT-04</t>
        </is>
      </c>
    </row>
    <row r="29" ht="15.75" customHeight="1" s="51">
      <c r="A29" s="26" t="inlineStr">
        <is>
          <t>Sprint 3</t>
        </is>
      </c>
      <c r="B29" s="28" t="inlineStr">
        <is>
          <t>QA / DevOps / Documentación</t>
        </is>
      </c>
      <c r="C29" s="28" t="inlineStr">
        <is>
          <t>Primer despliegue a producción (Hosting con cleanUrls y Functions) y documento de cierre del Sprint 3</t>
        </is>
      </c>
      <c r="D29" s="28" t="inlineStr">
        <is>
          <t>Cristian</t>
        </is>
      </c>
      <c r="E29" s="47" t="n">
        <v>2</v>
      </c>
      <c r="F29" s="28" t="inlineStr">
        <is>
          <t>Despliegue preparado</t>
        </is>
      </c>
      <c r="G29" s="28" t="inlineStr">
        <is>
          <t>Hecho</t>
        </is>
      </c>
      <c r="H29" s="30" t="inlineStr">
        <is>
          <t>Commits b4cf6bf, 0e7e056 (01-oct). https://stormcip-972bd.web.app. [Estimación retroactiva]</t>
        </is>
      </c>
      <c r="I29" s="28" t="inlineStr">
        <is>
          <t>Agregada (no planificada)</t>
        </is>
      </c>
      <c r="J29" s="74">
        <f>IF($I29="Plan original",INDEX('Roadmap Sprints'!$B$2:$B$9,MATCH(IF($A29="Cierre","Semana de cierre",$A29),'Roadmap Sprints'!$A$2:$A$9,0)),"")</f>
        <v/>
      </c>
      <c r="K29" s="74">
        <f>IF($I29="Plan original",INDEX('Roadmap Sprints'!$C$2:$C$9,MATCH(IF($A29="Cierre","Semana de cierre",$A29),'Roadmap Sprints'!$A$2:$A$9,0)),"")</f>
        <v/>
      </c>
      <c r="L29" s="75" t="n">
        <v>46296</v>
      </c>
      <c r="M29" s="76">
        <f>IF(J29="","",NETWORKDAYS(J29,K29))</f>
        <v/>
      </c>
      <c r="N29" s="76">
        <f>IF(J29="","",IF(L29&lt;&gt;"",IF(L29&lt;J29,0,NETWORKDAYS(J29,L29)),IF(G29="Hecho","",IF(Avance!$B$2&lt;J29,0,NETWORKDAYS(J29,Avance!$B$2)))))</f>
        <v/>
      </c>
      <c r="O29" s="76">
        <f>IF(J29="","n/a",IF(L29&lt;&gt;"",L29-K29,IF(G29="Hecho","s/d",MAX(0,Avance!$B$2-K29))))</f>
        <v/>
      </c>
      <c r="P29" s="77">
        <f>IF(ISNUMBER(O29),ROUND(O29/7,1),O29)</f>
        <v/>
      </c>
      <c r="Q29" s="28">
        <f>IF(J29="","No planificada",IF(G29="Hecho",IF(L29="","Hecha (sin fecha)",IF(L29&gt;K29,"Hecha con atraso","Hecha a tiempo")),IF(Avance!$B$2&gt;K29,"Pendiente atrasada","Pendiente en plazo")))</f>
        <v/>
      </c>
      <c r="R29" s="100" t="inlineStr">
        <is>
          <t>HT-01</t>
        </is>
      </c>
    </row>
    <row r="30" ht="15.75" customHeight="1" s="51">
      <c r="A30" s="26" t="inlineStr">
        <is>
          <t>Sprint 4</t>
        </is>
      </c>
      <c r="B30" s="28" t="inlineStr">
        <is>
          <t>Hardware / Sensores</t>
        </is>
      </c>
      <c r="C30" s="28" t="inlineStr">
        <is>
          <t>Calibración de sensores de temperatura y pH en la maqueta</t>
        </is>
      </c>
      <c r="D30" s="28" t="inlineStr">
        <is>
          <t>Técnico</t>
        </is>
      </c>
      <c r="E30" s="47" t="n">
        <v>4</v>
      </c>
      <c r="F30" s="28" t="inlineStr">
        <is>
          <t>Sensores montados</t>
        </is>
      </c>
      <c r="G30" s="28" t="inlineStr">
        <is>
          <t>Por hacer</t>
        </is>
      </c>
      <c r="H30" s="30" t="n"/>
      <c r="I30" s="28" t="inlineStr">
        <is>
          <t>Plan original</t>
        </is>
      </c>
      <c r="J30" s="74">
        <f>IF($I30="Plan original",INDEX('Roadmap Sprints'!$B$2:$B$9,MATCH(IF($A30="Cierre","Semana de cierre",$A30),'Roadmap Sprints'!$A$2:$A$9,0)),"")</f>
        <v/>
      </c>
      <c r="K30" s="74">
        <f>IF($I30="Plan original",INDEX('Roadmap Sprints'!$C$2:$C$9,MATCH(IF($A30="Cierre","Semana de cierre",$A30),'Roadmap Sprints'!$A$2:$A$9,0)),"")</f>
        <v/>
      </c>
      <c r="L30" s="75" t="n"/>
      <c r="M30" s="76">
        <f>IF(J30="","",NETWORKDAYS(J30,K30))</f>
        <v/>
      </c>
      <c r="N30" s="76">
        <f>IF(J30="","",IF(L30&lt;&gt;"",IF(L30&lt;J30,0,NETWORKDAYS(J30,L30)),IF(G30="Hecho","",IF(Avance!$B$2&lt;J30,0,NETWORKDAYS(J30,Avance!$B$2)))))</f>
        <v/>
      </c>
      <c r="O30" s="76">
        <f>IF(J30="","n/a",IF(L30&lt;&gt;"",L30-K30,IF(G30="Hecho","s/d",MAX(0,Avance!$B$2-K30))))</f>
        <v/>
      </c>
      <c r="P30" s="77">
        <f>IF(ISNUMBER(O30),ROUND(O30/7,1),O30)</f>
        <v/>
      </c>
      <c r="Q30" s="28">
        <f>IF(J30="","No planificada",IF(G30="Hecho",IF(L30="","Hecha (sin fecha)",IF(L30&gt;K30,"Hecha con atraso","Hecha a tiempo")),IF(Avance!$B$2&gt;K30,"Pendiente atrasada","Pendiente en plazo")))</f>
        <v/>
      </c>
      <c r="R30" s="100" t="inlineStr">
        <is>
          <t>HT-03</t>
        </is>
      </c>
    </row>
    <row r="31" ht="15.75" customHeight="1" s="51">
      <c r="A31" s="26" t="inlineStr">
        <is>
          <t>Sprint 4</t>
        </is>
      </c>
      <c r="B31" s="28" t="inlineStr">
        <is>
          <t>Backend / Firebase</t>
        </is>
      </c>
      <c r="C31" s="28" t="inlineStr">
        <is>
          <t>Conectar Function de ingesta a datos reales de la maqueta (2 sensores)</t>
        </is>
      </c>
      <c r="D31" s="28" t="inlineStr">
        <is>
          <t>Dev Backend</t>
        </is>
      </c>
      <c r="E31" s="47" t="n">
        <v>4</v>
      </c>
      <c r="F31" s="28" t="inlineStr">
        <is>
          <t>Maqueta enviando datos</t>
        </is>
      </c>
      <c r="G31" s="28" t="inlineStr">
        <is>
          <t>Por hacer</t>
        </is>
      </c>
      <c r="H31" s="30" t="inlineStr">
        <is>
          <t>ttnUplink listo y probado con simulador TTN; falta el sensor real y el primer uplink FPort 5 para confirmar firmware.</t>
        </is>
      </c>
      <c r="I31" s="28" t="inlineStr">
        <is>
          <t>Plan original</t>
        </is>
      </c>
      <c r="J31" s="74">
        <f>IF($I31="Plan original",INDEX('Roadmap Sprints'!$B$2:$B$9,MATCH(IF($A31="Cierre","Semana de cierre",$A31),'Roadmap Sprints'!$A$2:$A$9,0)),"")</f>
        <v/>
      </c>
      <c r="K31" s="74">
        <f>IF($I31="Plan original",INDEX('Roadmap Sprints'!$C$2:$C$9,MATCH(IF($A31="Cierre","Semana de cierre",$A31),'Roadmap Sprints'!$A$2:$A$9,0)),"")</f>
        <v/>
      </c>
      <c r="L31" s="75" t="n"/>
      <c r="M31" s="76">
        <f>IF(J31="","",NETWORKDAYS(J31,K31))</f>
        <v/>
      </c>
      <c r="N31" s="76">
        <f>IF(J31="","",IF(L31&lt;&gt;"",IF(L31&lt;J31,0,NETWORKDAYS(J31,L31)),IF(G31="Hecho","",IF(Avance!$B$2&lt;J31,0,NETWORKDAYS(J31,Avance!$B$2)))))</f>
        <v/>
      </c>
      <c r="O31" s="76">
        <f>IF(J31="","n/a",IF(L31&lt;&gt;"",L31-K31,IF(G31="Hecho","s/d",MAX(0,Avance!$B$2-K31))))</f>
        <v/>
      </c>
      <c r="P31" s="77">
        <f>IF(ISNUMBER(O31),ROUND(O31/7,1),O31)</f>
        <v/>
      </c>
      <c r="Q31" s="28">
        <f>IF(J31="","No planificada",IF(G31="Hecho",IF(L31="","Hecha (sin fecha)",IF(L31&gt;K31,"Hecha con atraso","Hecha a tiempo")),IF(Avance!$B$2&gt;K31,"Pendiente atrasada","Pendiente en plazo")))</f>
        <v/>
      </c>
      <c r="R31" s="100" t="inlineStr">
        <is>
          <t>HU-12</t>
        </is>
      </c>
    </row>
    <row r="32" ht="15.75" customHeight="1" s="51">
      <c r="A32" s="26" t="inlineStr">
        <is>
          <t>Sprint 4</t>
        </is>
      </c>
      <c r="B32" s="28" t="inlineStr">
        <is>
          <t>Frontend / Dashboard</t>
        </is>
      </c>
      <c r="C32" s="28" t="inlineStr">
        <is>
          <t>Gráfico en tiempo real de temperatura y pH conectado a Firestore listeners</t>
        </is>
      </c>
      <c r="D32" s="28" t="inlineStr">
        <is>
          <t>Cristian</t>
        </is>
      </c>
      <c r="E32" s="47" t="n">
        <v>5</v>
      </c>
      <c r="F32" s="28" t="inlineStr">
        <is>
          <t>Esqueleto de dashboard</t>
        </is>
      </c>
      <c r="G32" s="28" t="inlineStr">
        <is>
          <t>Hecho</t>
        </is>
      </c>
      <c r="H32" s="30" t="inlineStr">
        <is>
          <t>Gráfico de tendencia con listeners de Firestore, funcionando con datos simulados (sim:cip); falta validarlo con sensores reales.</t>
        </is>
      </c>
      <c r="I32" s="28" t="inlineStr">
        <is>
          <t>Plan original</t>
        </is>
      </c>
      <c r="J32" s="74">
        <f>IF($I32="Plan original",INDEX('Roadmap Sprints'!$B$2:$B$9,MATCH(IF($A32="Cierre","Semana de cierre",$A32),'Roadmap Sprints'!$A$2:$A$9,0)),"")</f>
        <v/>
      </c>
      <c r="K32" s="74">
        <f>IF($I32="Plan original",INDEX('Roadmap Sprints'!$C$2:$C$9,MATCH(IF($A32="Cierre","Semana de cierre",$A32),'Roadmap Sprints'!$A$2:$A$9,0)),"")</f>
        <v/>
      </c>
      <c r="L32" s="75" t="n">
        <v>46309</v>
      </c>
      <c r="M32" s="76">
        <f>IF(J32="","",NETWORKDAYS(J32,K32))</f>
        <v/>
      </c>
      <c r="N32" s="76">
        <f>IF(J32="","",IF(L32&lt;&gt;"",IF(L32&lt;J32,0,NETWORKDAYS(J32,L32)),IF(G32="Hecho","",IF(Avance!$B$2&lt;J32,0,NETWORKDAYS(J32,Avance!$B$2)))))</f>
        <v/>
      </c>
      <c r="O32" s="76">
        <f>IF(J32="","n/a",IF(L32&lt;&gt;"",L32-K32,IF(G32="Hecho","s/d",MAX(0,Avance!$B$2-K32))))</f>
        <v/>
      </c>
      <c r="P32" s="77">
        <f>IF(ISNUMBER(O32),ROUND(O32/7,1),O32)</f>
        <v/>
      </c>
      <c r="Q32" s="28">
        <f>IF(J32="","No planificada",IF(G32="Hecho",IF(L32="","Hecha (sin fecha)",IF(L32&gt;K32,"Hecha con atraso","Hecha a tiempo")),IF(Avance!$B$2&gt;K32,"Pendiente atrasada","Pendiente en plazo")))</f>
        <v/>
      </c>
      <c r="R32" s="100" t="inlineStr">
        <is>
          <t>HU-01</t>
        </is>
      </c>
    </row>
    <row r="33" ht="15.75" customHeight="1" s="51">
      <c r="A33" s="26" t="inlineStr">
        <is>
          <t>Sprint 4</t>
        </is>
      </c>
      <c r="B33" s="28" t="inlineStr">
        <is>
          <t>Análisis Predictivo</t>
        </is>
      </c>
      <c r="C33" s="28" t="inlineStr">
        <is>
          <t>Primer panel de análisis predictivo en el dashboard (proyección/alerta, aún con modelo entrenado solo en datos simulados)</t>
        </is>
      </c>
      <c r="D33" s="28" t="inlineStr">
        <is>
          <t>Dev Frontend</t>
        </is>
      </c>
      <c r="E33" s="47" t="n">
        <v>4</v>
      </c>
      <c r="F33" s="28" t="inlineStr">
        <is>
          <t>Modelo servido desde el backend</t>
        </is>
      </c>
      <c r="G33" s="28" t="inlineStr">
        <is>
          <t>Por hacer</t>
        </is>
      </c>
      <c r="H33" s="30" t="n"/>
      <c r="I33" s="28" t="inlineStr">
        <is>
          <t>Plan original</t>
        </is>
      </c>
      <c r="J33" s="74">
        <f>IF($I33="Plan original",INDEX('Roadmap Sprints'!$B$2:$B$9,MATCH(IF($A33="Cierre","Semana de cierre",$A33),'Roadmap Sprints'!$A$2:$A$9,0)),"")</f>
        <v/>
      </c>
      <c r="K33" s="74">
        <f>IF($I33="Plan original",INDEX('Roadmap Sprints'!$C$2:$C$9,MATCH(IF($A33="Cierre","Semana de cierre",$A33),'Roadmap Sprints'!$A$2:$A$9,0)),"")</f>
        <v/>
      </c>
      <c r="L33" s="75" t="n"/>
      <c r="M33" s="76">
        <f>IF(J33="","",NETWORKDAYS(J33,K33))</f>
        <v/>
      </c>
      <c r="N33" s="76">
        <f>IF(J33="","",IF(L33&lt;&gt;"",IF(L33&lt;J33,0,NETWORKDAYS(J33,L33)),IF(G33="Hecho","",IF(Avance!$B$2&lt;J33,0,NETWORKDAYS(J33,Avance!$B$2)))))</f>
        <v/>
      </c>
      <c r="O33" s="76">
        <f>IF(J33="","n/a",IF(L33&lt;&gt;"",L33-K33,IF(G33="Hecho","s/d",MAX(0,Avance!$B$2-K33))))</f>
        <v/>
      </c>
      <c r="P33" s="77">
        <f>IF(ISNUMBER(O33),ROUND(O33/7,1),O33)</f>
        <v/>
      </c>
      <c r="Q33" s="28">
        <f>IF(J33="","No planificada",IF(G33="Hecho",IF(L33="","Hecha (sin fecha)",IF(L33&gt;K33,"Hecha con atraso","Hecha a tiempo")),IF(Avance!$B$2&gt;K33,"Pendiente atrasada","Pendiente en plazo")))</f>
        <v/>
      </c>
      <c r="R33" s="100" t="inlineStr">
        <is>
          <t>HU-07</t>
        </is>
      </c>
    </row>
    <row r="34" ht="15.75" customHeight="1" s="51">
      <c r="A34" s="26" t="inlineStr">
        <is>
          <t>Sprint 4</t>
        </is>
      </c>
      <c r="B34" s="28" t="inlineStr">
        <is>
          <t>QA / DevOps / Documentación</t>
        </is>
      </c>
      <c r="C34" s="28" t="inlineStr">
        <is>
          <t>Demo interna end-to-end (sensor → Function → dashboard → predictivo)</t>
        </is>
      </c>
      <c r="D34" s="28" t="inlineStr">
        <is>
          <t>Equipo completo</t>
        </is>
      </c>
      <c r="E34" s="47" t="n">
        <v>1</v>
      </c>
      <c r="F34" s="28" t="inlineStr">
        <is>
          <t>Panel predictivo visible</t>
        </is>
      </c>
      <c r="G34" s="28" t="inlineStr">
        <is>
          <t>En proceso</t>
        </is>
      </c>
      <c r="H34" s="30" t="inlineStr">
        <is>
          <t>End-to-end simulado funcionando (simulador TTN -&gt; ttnUplink -&gt; dashboard, con botón de demo). Falta con sensor real y panel predictivo.</t>
        </is>
      </c>
      <c r="I34" s="28" t="inlineStr">
        <is>
          <t>Plan original</t>
        </is>
      </c>
      <c r="J34" s="74">
        <f>IF($I34="Plan original",INDEX('Roadmap Sprints'!$B$2:$B$9,MATCH(IF($A34="Cierre","Semana de cierre",$A34),'Roadmap Sprints'!$A$2:$A$9,0)),"")</f>
        <v/>
      </c>
      <c r="K34" s="74">
        <f>IF($I34="Plan original",INDEX('Roadmap Sprints'!$C$2:$C$9,MATCH(IF($A34="Cierre","Semana de cierre",$A34),'Roadmap Sprints'!$A$2:$A$9,0)),"")</f>
        <v/>
      </c>
      <c r="L34" s="75" t="n"/>
      <c r="M34" s="76">
        <f>IF(J34="","",NETWORKDAYS(J34,K34))</f>
        <v/>
      </c>
      <c r="N34" s="76">
        <f>IF(J34="","",IF(L34&lt;&gt;"",IF(L34&lt;J34,0,NETWORKDAYS(J34,L34)),IF(G34="Hecho","",IF(Avance!$B$2&lt;J34,0,NETWORKDAYS(J34,Avance!$B$2)))))</f>
        <v/>
      </c>
      <c r="O34" s="76">
        <f>IF(J34="","n/a",IF(L34&lt;&gt;"",L34-K34,IF(G34="Hecho","s/d",MAX(0,Avance!$B$2-K34))))</f>
        <v/>
      </c>
      <c r="P34" s="77">
        <f>IF(ISNUMBER(O34),ROUND(O34/7,1),O34)</f>
        <v/>
      </c>
      <c r="Q34" s="28">
        <f>IF(J34="","No planificada",IF(G34="Hecho",IF(L34="","Hecha (sin fecha)",IF(L34&gt;K34,"Hecha con atraso","Hecha a tiempo")),IF(Avance!$B$2&gt;K34,"Pendiente atrasada","Pendiente en plazo")))</f>
        <v/>
      </c>
      <c r="R34" s="100" t="inlineStr">
        <is>
          <t>HT-04</t>
        </is>
      </c>
    </row>
    <row r="35" ht="15.75" customHeight="1" s="51">
      <c r="A35" s="26" t="inlineStr">
        <is>
          <t>Sprint 4</t>
        </is>
      </c>
      <c r="B35" s="28" t="inlineStr">
        <is>
          <t>Frontend / Dashboard</t>
        </is>
      </c>
      <c r="C35" s="28" t="inlineStr">
        <is>
          <t>Sección de historial de alertas en el dashboard</t>
        </is>
      </c>
      <c r="D35" s="28" t="inlineStr">
        <is>
          <t>Humberto</t>
        </is>
      </c>
      <c r="E35" s="47" t="n">
        <v>2</v>
      </c>
      <c r="F35" s="28" t="inlineStr">
        <is>
          <t>Dashboard base</t>
        </is>
      </c>
      <c r="G35" s="28" t="inlineStr">
        <is>
          <t>Hecho</t>
        </is>
      </c>
      <c r="H35" s="30" t="inlineStr">
        <is>
          <t>Commit 1ddb7eb (05-oct). [Estimación retroactiva]</t>
        </is>
      </c>
      <c r="I35" s="28" t="inlineStr">
        <is>
          <t>Agregada (no planificada)</t>
        </is>
      </c>
      <c r="J35" s="74">
        <f>IF($I35="Plan original",INDEX('Roadmap Sprints'!$B$2:$B$9,MATCH(IF($A35="Cierre","Semana de cierre",$A35),'Roadmap Sprints'!$A$2:$A$9,0)),"")</f>
        <v/>
      </c>
      <c r="K35" s="74">
        <f>IF($I35="Plan original",INDEX('Roadmap Sprints'!$C$2:$C$9,MATCH(IF($A35="Cierre","Semana de cierre",$A35),'Roadmap Sprints'!$A$2:$A$9,0)),"")</f>
        <v/>
      </c>
      <c r="L35" s="75" t="n">
        <v>46300</v>
      </c>
      <c r="M35" s="76">
        <f>IF(J35="","",NETWORKDAYS(J35,K35))</f>
        <v/>
      </c>
      <c r="N35" s="76">
        <f>IF(J35="","",IF(L35&lt;&gt;"",IF(L35&lt;J35,0,NETWORKDAYS(J35,L35)),IF(G35="Hecho","",IF(Avance!$B$2&lt;J35,0,NETWORKDAYS(J35,Avance!$B$2)))))</f>
        <v/>
      </c>
      <c r="O35" s="76">
        <f>IF(J35="","n/a",IF(L35&lt;&gt;"",L35-K35,IF(G35="Hecho","s/d",MAX(0,Avance!$B$2-K35))))</f>
        <v/>
      </c>
      <c r="P35" s="77">
        <f>IF(ISNUMBER(O35),ROUND(O35/7,1),O35)</f>
        <v/>
      </c>
      <c r="Q35" s="28">
        <f>IF(J35="","No planificada",IF(G35="Hecho",IF(L35="","Hecha (sin fecha)",IF(L35&gt;K35,"Hecha con atraso","Hecha a tiempo")),IF(Avance!$B$2&gt;K35,"Pendiente atrasada","Pendiente en plazo")))</f>
        <v/>
      </c>
      <c r="R35" s="100" t="inlineStr">
        <is>
          <t>HU-03</t>
        </is>
      </c>
    </row>
    <row r="36" ht="15.75" customHeight="1" s="51">
      <c r="A36" s="26" t="inlineStr">
        <is>
          <t>Sprint 4</t>
        </is>
      </c>
      <c r="B36" s="28" t="inlineStr">
        <is>
          <t>Auth / Frontend</t>
        </is>
      </c>
      <c r="C36" s="28" t="inlineStr">
        <is>
          <t>Proteger el dashboard por rol (GuardRol) y desacoplar el panel del login</t>
        </is>
      </c>
      <c r="D36" s="28" t="inlineStr">
        <is>
          <t>Humberto</t>
        </is>
      </c>
      <c r="E36" s="47" t="n">
        <v>2</v>
      </c>
      <c r="F36" s="28" t="inlineStr">
        <is>
          <t>Firebase Authentication</t>
        </is>
      </c>
      <c r="G36" s="28" t="inlineStr">
        <is>
          <t>Hecho</t>
        </is>
      </c>
      <c r="H36" s="30" t="inlineStr">
        <is>
          <t>Commit 6807633 (06-oct). [Estimación retroactiva]</t>
        </is>
      </c>
      <c r="I36" s="28" t="inlineStr">
        <is>
          <t>Agregada (no planificada)</t>
        </is>
      </c>
      <c r="J36" s="74">
        <f>IF($I36="Plan original",INDEX('Roadmap Sprints'!$B$2:$B$9,MATCH(IF($A36="Cierre","Semana de cierre",$A36),'Roadmap Sprints'!$A$2:$A$9,0)),"")</f>
        <v/>
      </c>
      <c r="K36" s="74">
        <f>IF($I36="Plan original",INDEX('Roadmap Sprints'!$C$2:$C$9,MATCH(IF($A36="Cierre","Semana de cierre",$A36),'Roadmap Sprints'!$A$2:$A$9,0)),"")</f>
        <v/>
      </c>
      <c r="L36" s="75" t="n">
        <v>46301</v>
      </c>
      <c r="M36" s="76">
        <f>IF(J36="","",NETWORKDAYS(J36,K36))</f>
        <v/>
      </c>
      <c r="N36" s="76">
        <f>IF(J36="","",IF(L36&lt;&gt;"",IF(L36&lt;J36,0,NETWORKDAYS(J36,L36)),IF(G36="Hecho","",IF(Avance!$B$2&lt;J36,0,NETWORKDAYS(J36,Avance!$B$2)))))</f>
        <v/>
      </c>
      <c r="O36" s="76">
        <f>IF(J36="","n/a",IF(L36&lt;&gt;"",L36-K36,IF(G36="Hecho","s/d",MAX(0,Avance!$B$2-K36))))</f>
        <v/>
      </c>
      <c r="P36" s="77">
        <f>IF(ISNUMBER(O36),ROUND(O36/7,1),O36)</f>
        <v/>
      </c>
      <c r="Q36" s="28">
        <f>IF(J36="","No planificada",IF(G36="Hecho",IF(L36="","Hecha (sin fecha)",IF(L36&gt;K36,"Hecha con atraso","Hecha a tiempo")),IF(Avance!$B$2&gt;K36,"Pendiente atrasada","Pendiente en plazo")))</f>
        <v/>
      </c>
      <c r="R36" s="100" t="inlineStr">
        <is>
          <t>HU-08</t>
        </is>
      </c>
    </row>
    <row r="37" ht="15.75" customHeight="1" s="51">
      <c r="A37" s="26" t="inlineStr">
        <is>
          <t>Sprint 4</t>
        </is>
      </c>
      <c r="B37" s="28" t="inlineStr">
        <is>
          <t>Frontend / Dashboard</t>
        </is>
      </c>
      <c r="C37" s="28" t="inlineStr">
        <is>
          <t>Conexión de la base de datos con la web (primeros pasos del front)</t>
        </is>
      </c>
      <c r="D37" s="28" t="inlineStr">
        <is>
          <t>Cristian</t>
        </is>
      </c>
      <c r="E37" s="47" t="n">
        <v>2</v>
      </c>
      <c r="F37" s="28" t="inlineStr">
        <is>
          <t>Scaffolding app web</t>
        </is>
      </c>
      <c r="G37" s="28" t="inlineStr">
        <is>
          <t>Hecho</t>
        </is>
      </c>
      <c r="H37" s="30" t="inlineStr">
        <is>
          <t>Commit 6eb4457 (05-oct). [Estimación retroactiva]</t>
        </is>
      </c>
      <c r="I37" s="28" t="inlineStr">
        <is>
          <t>Agregada (no planificada)</t>
        </is>
      </c>
      <c r="J37" s="74">
        <f>IF($I37="Plan original",INDEX('Roadmap Sprints'!$B$2:$B$9,MATCH(IF($A37="Cierre","Semana de cierre",$A37),'Roadmap Sprints'!$A$2:$A$9,0)),"")</f>
        <v/>
      </c>
      <c r="K37" s="74">
        <f>IF($I37="Plan original",INDEX('Roadmap Sprints'!$C$2:$C$9,MATCH(IF($A37="Cierre","Semana de cierre",$A37),'Roadmap Sprints'!$A$2:$A$9,0)),"")</f>
        <v/>
      </c>
      <c r="L37" s="75" t="n">
        <v>46300</v>
      </c>
      <c r="M37" s="76">
        <f>IF(J37="","",NETWORKDAYS(J37,K37))</f>
        <v/>
      </c>
      <c r="N37" s="76">
        <f>IF(J37="","",IF(L37&lt;&gt;"",IF(L37&lt;J37,0,NETWORKDAYS(J37,L37)),IF(G37="Hecho","",IF(Avance!$B$2&lt;J37,0,NETWORKDAYS(J37,Avance!$B$2)))))</f>
        <v/>
      </c>
      <c r="O37" s="76">
        <f>IF(J37="","n/a",IF(L37&lt;&gt;"",L37-K37,IF(G37="Hecho","s/d",MAX(0,Avance!$B$2-K37))))</f>
        <v/>
      </c>
      <c r="P37" s="77">
        <f>IF(ISNUMBER(O37),ROUND(O37/7,1),O37)</f>
        <v/>
      </c>
      <c r="Q37" s="28">
        <f>IF(J37="","No planificada",IF(G37="Hecho",IF(L37="","Hecha (sin fecha)",IF(L37&gt;K37,"Hecha con atraso","Hecha a tiempo")),IF(Avance!$B$2&gt;K37,"Pendiente atrasada","Pendiente en plazo")))</f>
        <v/>
      </c>
      <c r="R37" s="100" t="inlineStr">
        <is>
          <t>HU-01</t>
        </is>
      </c>
    </row>
    <row r="38" ht="15.75" customHeight="1" s="51">
      <c r="A38" s="26" t="inlineStr">
        <is>
          <t>Sprint 4</t>
        </is>
      </c>
      <c r="B38" s="28" t="inlineStr">
        <is>
          <t>Backend / Firebase</t>
        </is>
      </c>
      <c r="C38" s="28" t="inlineStr">
        <is>
          <t>Ingesta: soporte de la sonda DR-ECK1.0, saturación y marca 'fuera de operación' por temperatura</t>
        </is>
      </c>
      <c r="D38" s="28" t="inlineStr">
        <is>
          <t>Humberto</t>
        </is>
      </c>
      <c r="E38" s="47" t="n">
        <v>3</v>
      </c>
      <c r="F38" s="28" t="inlineStr">
        <is>
          <t>Decoder WQS-LB</t>
        </is>
      </c>
      <c r="G38" s="28" t="inlineStr">
        <is>
          <t>Hecho</t>
        </is>
      </c>
      <c r="H38" s="30" t="inlineStr">
        <is>
          <t>Commit 2bc34dc (09-oct). [Estimación retroactiva]</t>
        </is>
      </c>
      <c r="I38" s="28" t="inlineStr">
        <is>
          <t>Agregada (no planificada)</t>
        </is>
      </c>
      <c r="J38" s="74">
        <f>IF($I38="Plan original",INDEX('Roadmap Sprints'!$B$2:$B$9,MATCH(IF($A38="Cierre","Semana de cierre",$A38),'Roadmap Sprints'!$A$2:$A$9,0)),"")</f>
        <v/>
      </c>
      <c r="K38" s="74">
        <f>IF($I38="Plan original",INDEX('Roadmap Sprints'!$C$2:$C$9,MATCH(IF($A38="Cierre","Semana de cierre",$A38),'Roadmap Sprints'!$A$2:$A$9,0)),"")</f>
        <v/>
      </c>
      <c r="L38" s="75" t="n">
        <v>46304</v>
      </c>
      <c r="M38" s="76">
        <f>IF(J38="","",NETWORKDAYS(J38,K38))</f>
        <v/>
      </c>
      <c r="N38" s="76">
        <f>IF(J38="","",IF(L38&lt;&gt;"",IF(L38&lt;J38,0,NETWORKDAYS(J38,L38)),IF(G38="Hecho","",IF(Avance!$B$2&lt;J38,0,NETWORKDAYS(J38,Avance!$B$2)))))</f>
        <v/>
      </c>
      <c r="O38" s="76">
        <f>IF(J38="","n/a",IF(L38&lt;&gt;"",L38-K38,IF(G38="Hecho","s/d",MAX(0,Avance!$B$2-K38))))</f>
        <v/>
      </c>
      <c r="P38" s="77">
        <f>IF(ISNUMBER(O38),ROUND(O38/7,1),O38)</f>
        <v/>
      </c>
      <c r="Q38" s="28">
        <f>IF(J38="","No planificada",IF(G38="Hecho",IF(L38="","Hecha (sin fecha)",IF(L38&gt;K38,"Hecha con atraso","Hecha a tiempo")),IF(Avance!$B$2&gt;K38,"Pendiente atrasada","Pendiente en plazo")))</f>
        <v/>
      </c>
      <c r="R38" s="100" t="inlineStr">
        <is>
          <t>HU-12</t>
        </is>
      </c>
    </row>
    <row r="39" ht="15.75" customHeight="1" s="51">
      <c r="A39" s="26" t="inlineStr">
        <is>
          <t>Sprint 4</t>
        </is>
      </c>
      <c r="B39" s="28" t="inlineStr">
        <is>
          <t>Backend / Firebase</t>
        </is>
      </c>
      <c r="C39" s="28" t="inlineStr">
        <is>
          <t>Procesar el uplink de estado (FPort 5) para conocer el firmware real del nodo</t>
        </is>
      </c>
      <c r="D39" s="28" t="inlineStr">
        <is>
          <t>Humberto</t>
        </is>
      </c>
      <c r="E39" s="47" t="n">
        <v>1</v>
      </c>
      <c r="F39" s="28" t="inlineStr">
        <is>
          <t>Decoder WQS-LB</t>
        </is>
      </c>
      <c r="G39" s="28" t="inlineStr">
        <is>
          <t>Hecho</t>
        </is>
      </c>
      <c r="H39" s="30" t="inlineStr">
        <is>
          <t>Commit e90683a (09-oct). Falta recibir el primer FPort 5 real. [Estimación retroactiva]</t>
        </is>
      </c>
      <c r="I39" s="28" t="inlineStr">
        <is>
          <t>Agregada (no planificada)</t>
        </is>
      </c>
      <c r="J39" s="74">
        <f>IF($I39="Plan original",INDEX('Roadmap Sprints'!$B$2:$B$9,MATCH(IF($A39="Cierre","Semana de cierre",$A39),'Roadmap Sprints'!$A$2:$A$9,0)),"")</f>
        <v/>
      </c>
      <c r="K39" s="74">
        <f>IF($I39="Plan original",INDEX('Roadmap Sprints'!$C$2:$C$9,MATCH(IF($A39="Cierre","Semana de cierre",$A39),'Roadmap Sprints'!$A$2:$A$9,0)),"")</f>
        <v/>
      </c>
      <c r="L39" s="75" t="n">
        <v>46304</v>
      </c>
      <c r="M39" s="76">
        <f>IF(J39="","",NETWORKDAYS(J39,K39))</f>
        <v/>
      </c>
      <c r="N39" s="76">
        <f>IF(J39="","",IF(L39&lt;&gt;"",IF(L39&lt;J39,0,NETWORKDAYS(J39,L39)),IF(G39="Hecho","",IF(Avance!$B$2&lt;J39,0,NETWORKDAYS(J39,Avance!$B$2)))))</f>
        <v/>
      </c>
      <c r="O39" s="76">
        <f>IF(J39="","n/a",IF(L39&lt;&gt;"",L39-K39,IF(G39="Hecho","s/d",MAX(0,Avance!$B$2-K39))))</f>
        <v/>
      </c>
      <c r="P39" s="77">
        <f>IF(ISNUMBER(O39),ROUND(O39/7,1),O39)</f>
        <v/>
      </c>
      <c r="Q39" s="28">
        <f>IF(J39="","No planificada",IF(G39="Hecho",IF(L39="","Hecha (sin fecha)",IF(L39&gt;K39,"Hecha con atraso","Hecha a tiempo")),IF(Avance!$B$2&gt;K39,"Pendiente atrasada","Pendiente en plazo")))</f>
        <v/>
      </c>
      <c r="R39" s="100" t="inlineStr">
        <is>
          <t>HU-10</t>
        </is>
      </c>
    </row>
    <row r="40" ht="15.75" customHeight="1" s="51">
      <c r="A40" s="26" t="inlineStr">
        <is>
          <t>Sprint 4</t>
        </is>
      </c>
      <c r="B40" s="28" t="inlineStr">
        <is>
          <t>QA / DevOps / Documentación</t>
        </is>
      </c>
      <c r="C40" s="28" t="inlineStr">
        <is>
          <t>Guardarraíles de entorno: ningún script toca producción sin flags explícitos</t>
        </is>
      </c>
      <c r="D40" s="28" t="inlineStr">
        <is>
          <t>Humberto</t>
        </is>
      </c>
      <c r="E40" s="47" t="n">
        <v>1</v>
      </c>
      <c r="F40" s="28" t="inlineStr">
        <is>
          <t>Scripts de seed y simulador</t>
        </is>
      </c>
      <c r="G40" s="28" t="inlineStr">
        <is>
          <t>Hecho</t>
        </is>
      </c>
      <c r="H40" s="30" t="inlineStr">
        <is>
          <t>Commits 45700b5, 9b5d42f, 16ada9e (09-oct). [Estimación retroactiva]</t>
        </is>
      </c>
      <c r="I40" s="28" t="inlineStr">
        <is>
          <t>Agregada (no planificada)</t>
        </is>
      </c>
      <c r="J40" s="74">
        <f>IF($I40="Plan original",INDEX('Roadmap Sprints'!$B$2:$B$9,MATCH(IF($A40="Cierre","Semana de cierre",$A40),'Roadmap Sprints'!$A$2:$A$9,0)),"")</f>
        <v/>
      </c>
      <c r="K40" s="74">
        <f>IF($I40="Plan original",INDEX('Roadmap Sprints'!$C$2:$C$9,MATCH(IF($A40="Cierre","Semana de cierre",$A40),'Roadmap Sprints'!$A$2:$A$9,0)),"")</f>
        <v/>
      </c>
      <c r="L40" s="75" t="n">
        <v>46304</v>
      </c>
      <c r="M40" s="76">
        <f>IF(J40="","",NETWORKDAYS(J40,K40))</f>
        <v/>
      </c>
      <c r="N40" s="76">
        <f>IF(J40="","",IF(L40&lt;&gt;"",IF(L40&lt;J40,0,NETWORKDAYS(J40,L40)),IF(G40="Hecho","",IF(Avance!$B$2&lt;J40,0,NETWORKDAYS(J40,Avance!$B$2)))))</f>
        <v/>
      </c>
      <c r="O40" s="76">
        <f>IF(J40="","n/a",IF(L40&lt;&gt;"",L40-K40,IF(G40="Hecho","s/d",MAX(0,Avance!$B$2-K40))))</f>
        <v/>
      </c>
      <c r="P40" s="77">
        <f>IF(ISNUMBER(O40),ROUND(O40/7,1),O40)</f>
        <v/>
      </c>
      <c r="Q40" s="28">
        <f>IF(J40="","No planificada",IF(G40="Hecho",IF(L40="","Hecha (sin fecha)",IF(L40&gt;K40,"Hecha con atraso","Hecha a tiempo")),IF(Avance!$B$2&gt;K40,"Pendiente atrasada","Pendiente en plazo")))</f>
        <v/>
      </c>
      <c r="R40" s="100" t="inlineStr">
        <is>
          <t>HT-04</t>
        </is>
      </c>
    </row>
    <row r="41" ht="15.75" customHeight="1" s="51">
      <c r="A41" s="26" t="inlineStr">
        <is>
          <t>Sprint 4</t>
        </is>
      </c>
      <c r="B41" s="28" t="inlineStr">
        <is>
          <t>Backend / Firebase</t>
        </is>
      </c>
      <c r="C41" s="28" t="inlineStr">
        <is>
          <t>Correcciones de cálculo: compensación de EC, tiempoHastaLimpio y fechas de alertas sin duplicar reintentos</t>
        </is>
      </c>
      <c r="D41" s="28" t="inlineStr">
        <is>
          <t>Humberto</t>
        </is>
      </c>
      <c r="E41" s="47" t="n">
        <v>2</v>
      </c>
      <c r="F41" s="28" t="inlineStr">
        <is>
          <t>Trigger de cierre de ciclo</t>
        </is>
      </c>
      <c r="G41" s="28" t="inlineStr">
        <is>
          <t>Hecho</t>
        </is>
      </c>
      <c r="H41" s="30" t="inlineStr">
        <is>
          <t>Commits 32cc5c6, 1190c88, 34b5a9d (09-oct). [Estimación retroactiva]</t>
        </is>
      </c>
      <c r="I41" s="28" t="inlineStr">
        <is>
          <t>Agregada (no planificada)</t>
        </is>
      </c>
      <c r="J41" s="74">
        <f>IF($I41="Plan original",INDEX('Roadmap Sprints'!$B$2:$B$9,MATCH(IF($A41="Cierre","Semana de cierre",$A41),'Roadmap Sprints'!$A$2:$A$9,0)),"")</f>
        <v/>
      </c>
      <c r="K41" s="74">
        <f>IF($I41="Plan original",INDEX('Roadmap Sprints'!$C$2:$C$9,MATCH(IF($A41="Cierre","Semana de cierre",$A41),'Roadmap Sprints'!$A$2:$A$9,0)),"")</f>
        <v/>
      </c>
      <c r="L41" s="75" t="n">
        <v>46304</v>
      </c>
      <c r="M41" s="76">
        <f>IF(J41="","",NETWORKDAYS(J41,K41))</f>
        <v/>
      </c>
      <c r="N41" s="76">
        <f>IF(J41="","",IF(L41&lt;&gt;"",IF(L41&lt;J41,0,NETWORKDAYS(J41,L41)),IF(G41="Hecho","",IF(Avance!$B$2&lt;J41,0,NETWORKDAYS(J41,Avance!$B$2)))))</f>
        <v/>
      </c>
      <c r="O41" s="76">
        <f>IF(J41="","n/a",IF(L41&lt;&gt;"",L41-K41,IF(G41="Hecho","s/d",MAX(0,Avance!$B$2-K41))))</f>
        <v/>
      </c>
      <c r="P41" s="77">
        <f>IF(ISNUMBER(O41),ROUND(O41/7,1),O41)</f>
        <v/>
      </c>
      <c r="Q41" s="28">
        <f>IF(J41="","No planificada",IF(G41="Hecho",IF(L41="","Hecha (sin fecha)",IF(L41&gt;K41,"Hecha con atraso","Hecha a tiempo")),IF(Avance!$B$2&gt;K41,"Pendiente atrasada","Pendiente en plazo")))</f>
        <v/>
      </c>
      <c r="R41" s="100" t="inlineStr">
        <is>
          <t>HU-06</t>
        </is>
      </c>
    </row>
    <row r="42" ht="15.75" customHeight="1" s="51">
      <c r="A42" s="26" t="inlineStr">
        <is>
          <t>Sprint 4</t>
        </is>
      </c>
      <c r="B42" s="28" t="inlineStr">
        <is>
          <t>Análisis Predictivo</t>
        </is>
      </c>
      <c r="C42" s="28" t="inlineStr">
        <is>
          <t>Simulador de ciclo CIP (modelo de etapas, codificador WQS, estadoProceso y comando sim:cip)</t>
        </is>
      </c>
      <c r="D42" s="28" t="inlineStr">
        <is>
          <t>Humberto</t>
        </is>
      </c>
      <c r="E42" s="47" t="n">
        <v>4</v>
      </c>
      <c r="F42" s="28" t="inlineStr">
        <is>
          <t>Decoder WQS-LB</t>
        </is>
      </c>
      <c r="G42" s="28" t="inlineStr">
        <is>
          <t>Hecho</t>
        </is>
      </c>
      <c r="H42" s="30" t="inlineStr">
        <is>
          <t>Commits df1a660, 8a263a1 (09/14-oct). Sirve para la demo; es la base para emular datos para ML. [Estimación retroactiva]</t>
        </is>
      </c>
      <c r="I42" s="28" t="inlineStr">
        <is>
          <t>Agregada (no planificada)</t>
        </is>
      </c>
      <c r="J42" s="74">
        <f>IF($I42="Plan original",INDEX('Roadmap Sprints'!$B$2:$B$9,MATCH(IF($A42="Cierre","Semana de cierre",$A42),'Roadmap Sprints'!$A$2:$A$9,0)),"")</f>
        <v/>
      </c>
      <c r="K42" s="74">
        <f>IF($I42="Plan original",INDEX('Roadmap Sprints'!$C$2:$C$9,MATCH(IF($A42="Cierre","Semana de cierre",$A42),'Roadmap Sprints'!$A$2:$A$9,0)),"")</f>
        <v/>
      </c>
      <c r="L42" s="75" t="n">
        <v>46309</v>
      </c>
      <c r="M42" s="76">
        <f>IF(J42="","",NETWORKDAYS(J42,K42))</f>
        <v/>
      </c>
      <c r="N42" s="76">
        <f>IF(J42="","",IF(L42&lt;&gt;"",IF(L42&lt;J42,0,NETWORKDAYS(J42,L42)),IF(G42="Hecho","",IF(Avance!$B$2&lt;J42,0,NETWORKDAYS(J42,Avance!$B$2)))))</f>
        <v/>
      </c>
      <c r="O42" s="76">
        <f>IF(J42="","n/a",IF(L42&lt;&gt;"",L42-K42,IF(G42="Hecho","s/d",MAX(0,Avance!$B$2-K42))))</f>
        <v/>
      </c>
      <c r="P42" s="77">
        <f>IF(ISNUMBER(O42),ROUND(O42/7,1),O42)</f>
        <v/>
      </c>
      <c r="Q42" s="28">
        <f>IF(J42="","No planificada",IF(G42="Hecho",IF(L42="","Hecha (sin fecha)",IF(L42&gt;K42,"Hecha con atraso","Hecha a tiempo")),IF(Avance!$B$2&gt;K42,"Pendiente atrasada","Pendiente en plazo")))</f>
        <v/>
      </c>
      <c r="R42" s="100" t="inlineStr">
        <is>
          <t>HU-11</t>
        </is>
      </c>
    </row>
    <row r="43" ht="15.75" customHeight="1" s="51">
      <c r="A43" s="26" t="inlineStr">
        <is>
          <t>Sprint 4</t>
        </is>
      </c>
      <c r="B43" s="28" t="inlineStr">
        <is>
          <t>QA / DevOps / Documentación</t>
        </is>
      </c>
      <c r="C43" s="28" t="inlineStr">
        <is>
          <t>Documento PENDIENTES-DASHBOARD.md con los hallazgos de la revisión (15 puntos)</t>
        </is>
      </c>
      <c r="D43" s="28" t="inlineStr">
        <is>
          <t>Humberto</t>
        </is>
      </c>
      <c r="E43" s="47" t="n">
        <v>1</v>
      </c>
      <c r="F43" s="28" t="inlineStr">
        <is>
          <t>-</t>
        </is>
      </c>
      <c r="G43" s="28" t="inlineStr">
        <is>
          <t>Hecho</t>
        </is>
      </c>
      <c r="H43" s="30" t="inlineStr">
        <is>
          <t>Commit 4eb3754 (09-oct). [Estimación retroactiva]</t>
        </is>
      </c>
      <c r="I43" s="28" t="inlineStr">
        <is>
          <t>Agregada (no planificada)</t>
        </is>
      </c>
      <c r="J43" s="74">
        <f>IF($I43="Plan original",INDEX('Roadmap Sprints'!$B$2:$B$9,MATCH(IF($A43="Cierre","Semana de cierre",$A43),'Roadmap Sprints'!$A$2:$A$9,0)),"")</f>
        <v/>
      </c>
      <c r="K43" s="74">
        <f>IF($I43="Plan original",INDEX('Roadmap Sprints'!$C$2:$C$9,MATCH(IF($A43="Cierre","Semana de cierre",$A43),'Roadmap Sprints'!$A$2:$A$9,0)),"")</f>
        <v/>
      </c>
      <c r="L43" s="75" t="n">
        <v>46304</v>
      </c>
      <c r="M43" s="76">
        <f>IF(J43="","",NETWORKDAYS(J43,K43))</f>
        <v/>
      </c>
      <c r="N43" s="76">
        <f>IF(J43="","",IF(L43&lt;&gt;"",IF(L43&lt;J43,0,NETWORKDAYS(J43,L43)),IF(G43="Hecho","",IF(Avance!$B$2&lt;J43,0,NETWORKDAYS(J43,Avance!$B$2)))))</f>
        <v/>
      </c>
      <c r="O43" s="76">
        <f>IF(J43="","n/a",IF(L43&lt;&gt;"",L43-K43,IF(G43="Hecho","s/d",MAX(0,Avance!$B$2-K43))))</f>
        <v/>
      </c>
      <c r="P43" s="77">
        <f>IF(ISNUMBER(O43),ROUND(O43/7,1),O43)</f>
        <v/>
      </c>
      <c r="Q43" s="28">
        <f>IF(J43="","No planificada",IF(G43="Hecho",IF(L43="","Hecha (sin fecha)",IF(L43&gt;K43,"Hecha con atraso","Hecha a tiempo")),IF(Avance!$B$2&gt;K43,"Pendiente atrasada","Pendiente en plazo")))</f>
        <v/>
      </c>
      <c r="R43" s="100" t="inlineStr">
        <is>
          <t>HT-05</t>
        </is>
      </c>
    </row>
    <row r="44" ht="15.75" customHeight="1" s="51">
      <c r="A44" s="26" t="inlineStr">
        <is>
          <t>Sprint 4</t>
        </is>
      </c>
      <c r="B44" s="28" t="inlineStr">
        <is>
          <t>Frontend / Dashboard</t>
        </is>
      </c>
      <c r="C44" s="28" t="inlineStr">
        <is>
          <t>Tarjetas del dashboard según las sondas del equipo (catálogo, saturación '≥ tope')</t>
        </is>
      </c>
      <c r="D44" s="28" t="inlineStr">
        <is>
          <t>Humberto</t>
        </is>
      </c>
      <c r="E44" s="47" t="n">
        <v>3</v>
      </c>
      <c r="F44" s="28" t="inlineStr">
        <is>
          <t>Soporte DR-ECK1.0</t>
        </is>
      </c>
      <c r="G44" s="28" t="inlineStr">
        <is>
          <t>Hecho</t>
        </is>
      </c>
      <c r="H44" s="30" t="inlineStr">
        <is>
          <t>Commits 75dc826, 3403df8, 06d562c (14-oct). [Estimación retroactiva]</t>
        </is>
      </c>
      <c r="I44" s="28" t="inlineStr">
        <is>
          <t>Agregada (no planificada)</t>
        </is>
      </c>
      <c r="J44" s="74">
        <f>IF($I44="Plan original",INDEX('Roadmap Sprints'!$B$2:$B$9,MATCH(IF($A44="Cierre","Semana de cierre",$A44),'Roadmap Sprints'!$A$2:$A$9,0)),"")</f>
        <v/>
      </c>
      <c r="K44" s="74">
        <f>IF($I44="Plan original",INDEX('Roadmap Sprints'!$C$2:$C$9,MATCH(IF($A44="Cierre","Semana de cierre",$A44),'Roadmap Sprints'!$A$2:$A$9,0)),"")</f>
        <v/>
      </c>
      <c r="L44" s="75" t="n">
        <v>46309</v>
      </c>
      <c r="M44" s="76">
        <f>IF(J44="","",NETWORKDAYS(J44,K44))</f>
        <v/>
      </c>
      <c r="N44" s="76">
        <f>IF(J44="","",IF(L44&lt;&gt;"",IF(L44&lt;J44,0,NETWORKDAYS(J44,L44)),IF(G44="Hecho","",IF(Avance!$B$2&lt;J44,0,NETWORKDAYS(J44,Avance!$B$2)))))</f>
        <v/>
      </c>
      <c r="O44" s="76">
        <f>IF(J44="","n/a",IF(L44&lt;&gt;"",L44-K44,IF(G44="Hecho","s/d",MAX(0,Avance!$B$2-K44))))</f>
        <v/>
      </c>
      <c r="P44" s="77">
        <f>IF(ISNUMBER(O44),ROUND(O44/7,1),O44)</f>
        <v/>
      </c>
      <c r="Q44" s="28">
        <f>IF(J44="","No planificada",IF(G44="Hecho",IF(L44="","Hecha (sin fecha)",IF(L44&gt;K44,"Hecha con atraso","Hecha a tiempo")),IF(Avance!$B$2&gt;K44,"Pendiente atrasada","Pendiente en plazo")))</f>
        <v/>
      </c>
      <c r="R44" s="100" t="inlineStr">
        <is>
          <t>HU-01</t>
        </is>
      </c>
    </row>
    <row r="45" ht="15.75" customHeight="1" s="51">
      <c r="A45" s="26" t="inlineStr">
        <is>
          <t>Sprint 4</t>
        </is>
      </c>
      <c r="B45" s="28" t="inlineStr">
        <is>
          <t>Frontend / Dashboard</t>
        </is>
      </c>
      <c r="C45" s="28" t="inlineStr">
        <is>
          <t>Barra de etapas con tiempo restante y gráfico de tendencia con eje de tiempo, franjas por etapa y confianza por punto</t>
        </is>
      </c>
      <c r="D45" s="28" t="inlineStr">
        <is>
          <t>Humberto</t>
        </is>
      </c>
      <c r="E45" s="47" t="n">
        <v>4</v>
      </c>
      <c r="F45" s="28" t="inlineStr">
        <is>
          <t>Simulador de ciclo CIP</t>
        </is>
      </c>
      <c r="G45" s="28" t="inlineStr">
        <is>
          <t>Hecho</t>
        </is>
      </c>
      <c r="H45" s="30" t="inlineStr">
        <is>
          <t>Commits c243adf, a71fddf, 9ea5933, f4a9fc9, 973cc80 (14-oct). [Estimación retroactiva]</t>
        </is>
      </c>
      <c r="I45" s="28" t="inlineStr">
        <is>
          <t>Agregada (no planificada)</t>
        </is>
      </c>
      <c r="J45" s="74">
        <f>IF($I45="Plan original",INDEX('Roadmap Sprints'!$B$2:$B$9,MATCH(IF($A45="Cierre","Semana de cierre",$A45),'Roadmap Sprints'!$A$2:$A$9,0)),"")</f>
        <v/>
      </c>
      <c r="K45" s="74">
        <f>IF($I45="Plan original",INDEX('Roadmap Sprints'!$C$2:$C$9,MATCH(IF($A45="Cierre","Semana de cierre",$A45),'Roadmap Sprints'!$A$2:$A$9,0)),"")</f>
        <v/>
      </c>
      <c r="L45" s="75" t="n">
        <v>46309</v>
      </c>
      <c r="M45" s="76">
        <f>IF(J45="","",NETWORKDAYS(J45,K45))</f>
        <v/>
      </c>
      <c r="N45" s="76">
        <f>IF(J45="","",IF(L45&lt;&gt;"",IF(L45&lt;J45,0,NETWORKDAYS(J45,L45)),IF(G45="Hecho","",IF(Avance!$B$2&lt;J45,0,NETWORKDAYS(J45,Avance!$B$2)))))</f>
        <v/>
      </c>
      <c r="O45" s="76">
        <f>IF(J45="","n/a",IF(L45&lt;&gt;"",L45-K45,IF(G45="Hecho","s/d",MAX(0,Avance!$B$2-K45))))</f>
        <v/>
      </c>
      <c r="P45" s="77">
        <f>IF(ISNUMBER(O45),ROUND(O45/7,1),O45)</f>
        <v/>
      </c>
      <c r="Q45" s="28">
        <f>IF(J45="","No planificada",IF(G45="Hecho",IF(L45="","Hecha (sin fecha)",IF(L45&gt;K45,"Hecha con atraso","Hecha a tiempo")),IF(Avance!$B$2&gt;K45,"Pendiente atrasada","Pendiente en plazo")))</f>
        <v/>
      </c>
      <c r="R45" s="100" t="inlineStr">
        <is>
          <t>HU-02</t>
        </is>
      </c>
    </row>
    <row r="46" ht="15.75" customHeight="1" s="51">
      <c r="A46" s="26" t="inlineStr">
        <is>
          <t>Sprint 4</t>
        </is>
      </c>
      <c r="B46" s="28" t="inlineStr">
        <is>
          <t>Frontend / Dashboard</t>
        </is>
      </c>
      <c r="C46" s="28" t="inlineStr">
        <is>
          <t>Control de la simulación desde el dashboard (botón de demo, selector de línea) y reglas de Firestore asociadas</t>
        </is>
      </c>
      <c r="D46" s="28" t="inlineStr">
        <is>
          <t>Humberto</t>
        </is>
      </c>
      <c r="E46" s="47" t="n">
        <v>3</v>
      </c>
      <c r="F46" s="28" t="inlineStr">
        <is>
          <t>Simulador de ciclo CIP</t>
        </is>
      </c>
      <c r="G46" s="28" t="inlineStr">
        <is>
          <t>Hecho</t>
        </is>
      </c>
      <c r="H46" s="30" t="inlineStr">
        <is>
          <t>Commits bec9f20, 67284b7, 1577029, c13c2fc (14-oct). [Estimación retroactiva]</t>
        </is>
      </c>
      <c r="I46" s="28" t="inlineStr">
        <is>
          <t>Agregada (no planificada)</t>
        </is>
      </c>
      <c r="J46" s="74">
        <f>IF($I46="Plan original",INDEX('Roadmap Sprints'!$B$2:$B$9,MATCH(IF($A46="Cierre","Semana de cierre",$A46),'Roadmap Sprints'!$A$2:$A$9,0)),"")</f>
        <v/>
      </c>
      <c r="K46" s="74">
        <f>IF($I46="Plan original",INDEX('Roadmap Sprints'!$C$2:$C$9,MATCH(IF($A46="Cierre","Semana de cierre",$A46),'Roadmap Sprints'!$A$2:$A$9,0)),"")</f>
        <v/>
      </c>
      <c r="L46" s="75" t="n">
        <v>46309</v>
      </c>
      <c r="M46" s="76">
        <f>IF(J46="","",NETWORKDAYS(J46,K46))</f>
        <v/>
      </c>
      <c r="N46" s="76">
        <f>IF(J46="","",IF(L46&lt;&gt;"",IF(L46&lt;J46,0,NETWORKDAYS(J46,L46)),IF(G46="Hecho","",IF(Avance!$B$2&lt;J46,0,NETWORKDAYS(J46,Avance!$B$2)))))</f>
        <v/>
      </c>
      <c r="O46" s="76">
        <f>IF(J46="","n/a",IF(L46&lt;&gt;"",L46-K46,IF(G46="Hecho","s/d",MAX(0,Avance!$B$2-K46))))</f>
        <v/>
      </c>
      <c r="P46" s="77">
        <f>IF(ISNUMBER(O46),ROUND(O46/7,1),O46)</f>
        <v/>
      </c>
      <c r="Q46" s="28">
        <f>IF(J46="","No planificada",IF(G46="Hecho",IF(L46="","Hecha (sin fecha)",IF(L46&gt;K46,"Hecha con atraso","Hecha a tiempo")),IF(Avance!$B$2&gt;K46,"Pendiente atrasada","Pendiente en plazo")))</f>
        <v/>
      </c>
      <c r="R46" s="100" t="inlineStr">
        <is>
          <t>HU-11</t>
        </is>
      </c>
    </row>
    <row r="47" ht="15.75" customHeight="1" s="51">
      <c r="A47" s="26" t="inlineStr">
        <is>
          <t>Sprint 4</t>
        </is>
      </c>
      <c r="B47" s="28" t="inlineStr">
        <is>
          <t>QA / DevOps / Documentación</t>
        </is>
      </c>
      <c r="C47" s="28" t="inlineStr">
        <is>
          <t>Suite de pruebas automatizadas: 158 tests en functions, 133 en web y tests de reglas de Firestore</t>
        </is>
      </c>
      <c r="D47" s="28" t="inlineStr">
        <is>
          <t>Humberto y Cristian</t>
        </is>
      </c>
      <c r="E47" s="47" t="n">
        <v>4</v>
      </c>
      <c r="F47" s="28" t="inlineStr">
        <is>
          <t>-</t>
        </is>
      </c>
      <c r="G47" s="28" t="inlineStr">
        <is>
          <t>Hecho</t>
        </is>
      </c>
      <c r="H47" s="30" t="inlineStr">
        <is>
          <t>Verificado el 18-oct-2026: 291 tests pasan. Tests de reglas requieren el emulador. [Estimación retroactiva]</t>
        </is>
      </c>
      <c r="I47" s="28" t="inlineStr">
        <is>
          <t>Agregada (no planificada)</t>
        </is>
      </c>
      <c r="J47" s="74">
        <f>IF($I47="Plan original",INDEX('Roadmap Sprints'!$B$2:$B$9,MATCH(IF($A47="Cierre","Semana de cierre",$A47),'Roadmap Sprints'!$A$2:$A$9,0)),"")</f>
        <v/>
      </c>
      <c r="K47" s="74">
        <f>IF($I47="Plan original",INDEX('Roadmap Sprints'!$C$2:$C$9,MATCH(IF($A47="Cierre","Semana de cierre",$A47),'Roadmap Sprints'!$A$2:$A$9,0)),"")</f>
        <v/>
      </c>
      <c r="L47" s="75" t="n">
        <v>46309</v>
      </c>
      <c r="M47" s="76">
        <f>IF(J47="","",NETWORKDAYS(J47,K47))</f>
        <v/>
      </c>
      <c r="N47" s="76">
        <f>IF(J47="","",IF(L47&lt;&gt;"",IF(L47&lt;J47,0,NETWORKDAYS(J47,L47)),IF(G47="Hecho","",IF(Avance!$B$2&lt;J47,0,NETWORKDAYS(J47,Avance!$B$2)))))</f>
        <v/>
      </c>
      <c r="O47" s="76">
        <f>IF(J47="","n/a",IF(L47&lt;&gt;"",L47-K47,IF(G47="Hecho","s/d",MAX(0,Avance!$B$2-K47))))</f>
        <v/>
      </c>
      <c r="P47" s="77">
        <f>IF(ISNUMBER(O47),ROUND(O47/7,1),O47)</f>
        <v/>
      </c>
      <c r="Q47" s="28">
        <f>IF(J47="","No planificada",IF(G47="Hecho",IF(L47="","Hecha (sin fecha)",IF(L47&gt;K47,"Hecha con atraso","Hecha a tiempo")),IF(Avance!$B$2&gt;K47,"Pendiente atrasada","Pendiente en plazo")))</f>
        <v/>
      </c>
      <c r="R47" s="100" t="inlineStr">
        <is>
          <t>HT-04</t>
        </is>
      </c>
    </row>
    <row r="48" ht="15.75" customHeight="1" s="51">
      <c r="A48" s="26" t="inlineStr">
        <is>
          <t>Sprint 4</t>
        </is>
      </c>
      <c r="B48" s="28" t="inlineStr">
        <is>
          <t>QA / DevOps / Documentación</t>
        </is>
      </c>
      <c r="C48" s="28" t="inlineStr">
        <is>
          <t>Documentar el despliegue a producción (orden reglas, funciones, Hosting) y errores comunes en el README</t>
        </is>
      </c>
      <c r="D48" s="28" t="inlineStr">
        <is>
          <t>Humberto</t>
        </is>
      </c>
      <c r="E48" s="47" t="n">
        <v>1</v>
      </c>
      <c r="F48" s="28" t="inlineStr">
        <is>
          <t>Despliegue preparado</t>
        </is>
      </c>
      <c r="G48" s="28" t="inlineStr">
        <is>
          <t>Hecho</t>
        </is>
      </c>
      <c r="H48" s="30" t="inlineStr">
        <is>
          <t>Commits c4dc66f, 0c52265 (14-oct). [Estimación retroactiva]</t>
        </is>
      </c>
      <c r="I48" s="28" t="inlineStr">
        <is>
          <t>Agregada (no planificada)</t>
        </is>
      </c>
      <c r="J48" s="74">
        <f>IF($I48="Plan original",INDEX('Roadmap Sprints'!$B$2:$B$9,MATCH(IF($A48="Cierre","Semana de cierre",$A48),'Roadmap Sprints'!$A$2:$A$9,0)),"")</f>
        <v/>
      </c>
      <c r="K48" s="74">
        <f>IF($I48="Plan original",INDEX('Roadmap Sprints'!$C$2:$C$9,MATCH(IF($A48="Cierre","Semana de cierre",$A48),'Roadmap Sprints'!$A$2:$A$9,0)),"")</f>
        <v/>
      </c>
      <c r="L48" s="75" t="n">
        <v>46309</v>
      </c>
      <c r="M48" s="76">
        <f>IF(J48="","",NETWORKDAYS(J48,K48))</f>
        <v/>
      </c>
      <c r="N48" s="76">
        <f>IF(J48="","",IF(L48&lt;&gt;"",IF(L48&lt;J48,0,NETWORKDAYS(J48,L48)),IF(G48="Hecho","",IF(Avance!$B$2&lt;J48,0,NETWORKDAYS(J48,Avance!$B$2)))))</f>
        <v/>
      </c>
      <c r="O48" s="76">
        <f>IF(J48="","n/a",IF(L48&lt;&gt;"",L48-K48,IF(G48="Hecho","s/d",MAX(0,Avance!$B$2-K48))))</f>
        <v/>
      </c>
      <c r="P48" s="77">
        <f>IF(ISNUMBER(O48),ROUND(O48/7,1),O48)</f>
        <v/>
      </c>
      <c r="Q48" s="28">
        <f>IF(J48="","No planificada",IF(G48="Hecho",IF(L48="","Hecha (sin fecha)",IF(L48&gt;K48,"Hecha con atraso","Hecha a tiempo")),IF(Avance!$B$2&gt;K48,"Pendiente atrasada","Pendiente en plazo")))</f>
        <v/>
      </c>
      <c r="R48" s="100" t="inlineStr">
        <is>
          <t>HT-01</t>
        </is>
      </c>
    </row>
    <row r="49" ht="15.75" customHeight="1" s="51">
      <c r="A49" s="26" t="inlineStr">
        <is>
          <t>Sprint 4</t>
        </is>
      </c>
      <c r="B49" s="28" t="inlineStr">
        <is>
          <t>Análisis Predictivo</t>
        </is>
      </c>
      <c r="C49" s="28" t="inlineStr">
        <is>
          <t>Revisar manuales de los sensores comprados y datos típicos de un CIP para emular datos y configurar los modelos de predicción</t>
        </is>
      </c>
      <c r="D49" s="28" t="inlineStr">
        <is>
          <t>Equipo</t>
        </is>
      </c>
      <c r="E49" s="47" t="n">
        <v>3</v>
      </c>
      <c r="F49" s="28" t="inlineStr">
        <is>
          <t>Orden de compra de sensores</t>
        </is>
      </c>
      <c r="G49" s="28" t="inlineStr">
        <is>
          <t>En proceso</t>
        </is>
      </c>
      <c r="H49" s="30" t="inlineStr">
        <is>
          <t>Iniciada el 18-oct-2026 mientras el técnico arma el prototipo. Insumo de las filas de diseño de simulación, dataset simulado y primer modelo ML.</t>
        </is>
      </c>
      <c r="I49" s="28" t="inlineStr">
        <is>
          <t>Agregada (no planificada)</t>
        </is>
      </c>
      <c r="J49" s="74">
        <f>IF($I49="Plan original",INDEX('Roadmap Sprints'!$B$2:$B$9,MATCH(IF($A49="Cierre","Semana de cierre",$A49),'Roadmap Sprints'!$A$2:$A$9,0)),"")</f>
        <v/>
      </c>
      <c r="K49" s="74">
        <f>IF($I49="Plan original",INDEX('Roadmap Sprints'!$C$2:$C$9,MATCH(IF($A49="Cierre","Semana de cierre",$A49),'Roadmap Sprints'!$A$2:$A$9,0)),"")</f>
        <v/>
      </c>
      <c r="L49" s="75" t="n"/>
      <c r="M49" s="76">
        <f>IF(J49="","",NETWORKDAYS(J49,K49))</f>
        <v/>
      </c>
      <c r="N49" s="76">
        <f>IF(J49="","",IF(L49&lt;&gt;"",IF(L49&lt;J49,0,NETWORKDAYS(J49,L49)),IF(G49="Hecho","",IF(Avance!$B$2&lt;J49,0,NETWORKDAYS(J49,Avance!$B$2)))))</f>
        <v/>
      </c>
      <c r="O49" s="76">
        <f>IF(J49="","n/a",IF(L49&lt;&gt;"",L49-K49,IF(G49="Hecho","s/d",MAX(0,Avance!$B$2-K49))))</f>
        <v/>
      </c>
      <c r="P49" s="77">
        <f>IF(ISNUMBER(O49),ROUND(O49/7,1),O49)</f>
        <v/>
      </c>
      <c r="Q49" s="28">
        <f>IF(J49="","No planificada",IF(G49="Hecho",IF(L49="","Hecha (sin fecha)",IF(L49&gt;K49,"Hecha con atraso","Hecha a tiempo")),IF(Avance!$B$2&gt;K49,"Pendiente atrasada","Pendiente en plazo")))</f>
        <v/>
      </c>
      <c r="R49" s="100" t="inlineStr">
        <is>
          <t>HU-07</t>
        </is>
      </c>
    </row>
    <row r="50" ht="15.75" customHeight="1" s="51">
      <c r="A50" s="26" t="inlineStr">
        <is>
          <t>Sprint 5</t>
        </is>
      </c>
      <c r="B50" s="28" t="inlineStr">
        <is>
          <t>Hardware / Sensores</t>
        </is>
      </c>
      <c r="C50" s="28" t="inlineStr">
        <is>
          <t>Integración de sensor de conductividad y caudalímetro (agua/químicos)</t>
        </is>
      </c>
      <c r="D50" s="28" t="inlineStr">
        <is>
          <t>Técnico</t>
        </is>
      </c>
      <c r="E50" s="47" t="n">
        <v>5</v>
      </c>
      <c r="F50" s="28" t="inlineStr">
        <is>
          <t>Calibración inicial</t>
        </is>
      </c>
      <c r="G50" s="28" t="inlineStr">
        <is>
          <t>Por hacer</t>
        </is>
      </c>
      <c r="H50" s="30" t="inlineStr">
        <is>
          <t>Manual del flujómetro SW3L-LB pendiente y rango de temperatura a verificar (PENDIENTES-DASHBOARD.md §7).</t>
        </is>
      </c>
      <c r="I50" s="28" t="inlineStr">
        <is>
          <t>Plan original</t>
        </is>
      </c>
      <c r="J50" s="74">
        <f>IF($I50="Plan original",INDEX('Roadmap Sprints'!$B$2:$B$9,MATCH(IF($A50="Cierre","Semana de cierre",$A50),'Roadmap Sprints'!$A$2:$A$9,0)),"")</f>
        <v/>
      </c>
      <c r="K50" s="74">
        <f>IF($I50="Plan original",INDEX('Roadmap Sprints'!$C$2:$C$9,MATCH(IF($A50="Cierre","Semana de cierre",$A50),'Roadmap Sprints'!$A$2:$A$9,0)),"")</f>
        <v/>
      </c>
      <c r="L50" s="75" t="n"/>
      <c r="M50" s="76">
        <f>IF(J50="","",NETWORKDAYS(J50,K50))</f>
        <v/>
      </c>
      <c r="N50" s="76">
        <f>IF(J50="","",IF(L50&lt;&gt;"",IF(L50&lt;J50,0,NETWORKDAYS(J50,L50)),IF(G50="Hecho","",IF(Avance!$B$2&lt;J50,0,NETWORKDAYS(J50,Avance!$B$2)))))</f>
        <v/>
      </c>
      <c r="O50" s="76">
        <f>IF(J50="","n/a",IF(L50&lt;&gt;"",L50-K50,IF(G50="Hecho","s/d",MAX(0,Avance!$B$2-K50))))</f>
        <v/>
      </c>
      <c r="P50" s="77">
        <f>IF(ISNUMBER(O50),ROUND(O50/7,1),O50)</f>
        <v/>
      </c>
      <c r="Q50" s="28">
        <f>IF(J50="","No planificada",IF(G50="Hecho",IF(L50="","Hecha (sin fecha)",IF(L50&gt;K50,"Hecha con atraso","Hecha a tiempo")),IF(Avance!$B$2&gt;K50,"Pendiente atrasada","Pendiente en plazo")))</f>
        <v/>
      </c>
      <c r="R50" s="100" t="inlineStr">
        <is>
          <t>HU-05</t>
        </is>
      </c>
    </row>
    <row r="51" ht="15.75" customHeight="1" s="51">
      <c r="A51" s="26" t="inlineStr">
        <is>
          <t>Sprint 5</t>
        </is>
      </c>
      <c r="B51" s="28" t="inlineStr">
        <is>
          <t>Backend / Firebase</t>
        </is>
      </c>
      <c r="C51" s="28" t="inlineStr">
        <is>
          <t>Cálculo de consumo de agua y químicos a partir de lecturas de caudal</t>
        </is>
      </c>
      <c r="D51" s="28" t="inlineStr">
        <is>
          <t>Dev Backend</t>
        </is>
      </c>
      <c r="E51" s="47" t="n">
        <v>4</v>
      </c>
      <c r="F51" s="28" t="inlineStr">
        <is>
          <t>Sensor de caudal integrado</t>
        </is>
      </c>
      <c r="G51" s="28" t="inlineStr">
        <is>
          <t>En proceso</t>
        </is>
      </c>
      <c r="H51" s="30" t="inlineStr">
        <is>
          <t>volumenEstimado con caudal nominal de la bomba (no hay caudalímetro en la planta); consumo de químicos no calculado.</t>
        </is>
      </c>
      <c r="I51" s="28" t="inlineStr">
        <is>
          <t>Plan original</t>
        </is>
      </c>
      <c r="J51" s="74">
        <f>IF($I51="Plan original",INDEX('Roadmap Sprints'!$B$2:$B$9,MATCH(IF($A51="Cierre","Semana de cierre",$A51),'Roadmap Sprints'!$A$2:$A$9,0)),"")</f>
        <v/>
      </c>
      <c r="K51" s="74">
        <f>IF($I51="Plan original",INDEX('Roadmap Sprints'!$C$2:$C$9,MATCH(IF($A51="Cierre","Semana de cierre",$A51),'Roadmap Sprints'!$A$2:$A$9,0)),"")</f>
        <v/>
      </c>
      <c r="L51" s="75" t="n"/>
      <c r="M51" s="76">
        <f>IF(J51="","",NETWORKDAYS(J51,K51))</f>
        <v/>
      </c>
      <c r="N51" s="76">
        <f>IF(J51="","",IF(L51&lt;&gt;"",IF(L51&lt;J51,0,NETWORKDAYS(J51,L51)),IF(G51="Hecho","",IF(Avance!$B$2&lt;J51,0,NETWORKDAYS(J51,Avance!$B$2)))))</f>
        <v/>
      </c>
      <c r="O51" s="76">
        <f>IF(J51="","n/a",IF(L51&lt;&gt;"",L51-K51,IF(G51="Hecho","s/d",MAX(0,Avance!$B$2-K51))))</f>
        <v/>
      </c>
      <c r="P51" s="77">
        <f>IF(ISNUMBER(O51),ROUND(O51/7,1),O51)</f>
        <v/>
      </c>
      <c r="Q51" s="28">
        <f>IF(J51="","No planificada",IF(G51="Hecho",IF(L51="","Hecha (sin fecha)",IF(L51&gt;K51,"Hecha con atraso","Hecha a tiempo")),IF(Avance!$B$2&gt;K51,"Pendiente atrasada","Pendiente en plazo")))</f>
        <v/>
      </c>
      <c r="R51" s="100" t="inlineStr">
        <is>
          <t>HU-05</t>
        </is>
      </c>
    </row>
    <row r="52" ht="15.75" customHeight="1" s="51">
      <c r="A52" s="26" t="inlineStr">
        <is>
          <t>Sprint 5</t>
        </is>
      </c>
      <c r="B52" s="28" t="inlineStr">
        <is>
          <t>Frontend / Dashboard</t>
        </is>
      </c>
      <c r="C52" s="28" t="inlineStr">
        <is>
          <t>Panel de consumo de químicos y agua (totales y tendencia)</t>
        </is>
      </c>
      <c r="D52" s="28" t="inlineStr">
        <is>
          <t>Dev Frontend</t>
        </is>
      </c>
      <c r="E52" s="47" t="n">
        <v>5</v>
      </c>
      <c r="F52" s="28" t="inlineStr">
        <is>
          <t>Cálculo de consumo</t>
        </is>
      </c>
      <c r="G52" s="28" t="inlineStr">
        <is>
          <t>En proceso</t>
        </is>
      </c>
      <c r="H52" s="30" t="inlineStr">
        <is>
          <t>Indicadores del ciclo con volumen estimado en el dashboard; el panel dedicado de consumo aún no existe.</t>
        </is>
      </c>
      <c r="I52" s="28" t="inlineStr">
        <is>
          <t>Plan original</t>
        </is>
      </c>
      <c r="J52" s="74">
        <f>IF($I52="Plan original",INDEX('Roadmap Sprints'!$B$2:$B$9,MATCH(IF($A52="Cierre","Semana de cierre",$A52),'Roadmap Sprints'!$A$2:$A$9,0)),"")</f>
        <v/>
      </c>
      <c r="K52" s="74">
        <f>IF($I52="Plan original",INDEX('Roadmap Sprints'!$C$2:$C$9,MATCH(IF($A52="Cierre","Semana de cierre",$A52),'Roadmap Sprints'!$A$2:$A$9,0)),"")</f>
        <v/>
      </c>
      <c r="L52" s="75" t="n"/>
      <c r="M52" s="76">
        <f>IF(J52="","",NETWORKDAYS(J52,K52))</f>
        <v/>
      </c>
      <c r="N52" s="76">
        <f>IF(J52="","",IF(L52&lt;&gt;"",IF(L52&lt;J52,0,NETWORKDAYS(J52,L52)),IF(G52="Hecho","",IF(Avance!$B$2&lt;J52,0,NETWORKDAYS(J52,Avance!$B$2)))))</f>
        <v/>
      </c>
      <c r="O52" s="76">
        <f>IF(J52="","n/a",IF(L52&lt;&gt;"",L52-K52,IF(G52="Hecho","s/d",MAX(0,Avance!$B$2-K52))))</f>
        <v/>
      </c>
      <c r="P52" s="77">
        <f>IF(ISNUMBER(O52),ROUND(O52/7,1),O52)</f>
        <v/>
      </c>
      <c r="Q52" s="28">
        <f>IF(J52="","No planificada",IF(G52="Hecho",IF(L52="","Hecha (sin fecha)",IF(L52&gt;K52,"Hecha con atraso","Hecha a tiempo")),IF(Avance!$B$2&gt;K52,"Pendiente atrasada","Pendiente en plazo")))</f>
        <v/>
      </c>
      <c r="R52" s="100" t="inlineStr">
        <is>
          <t>HU-05</t>
        </is>
      </c>
    </row>
    <row r="53" ht="15.75" customHeight="1" s="51">
      <c r="A53" s="26" t="inlineStr">
        <is>
          <t>Sprint 5</t>
        </is>
      </c>
      <c r="B53" s="28" t="inlineStr">
        <is>
          <t>Frontend / Dashboard</t>
        </is>
      </c>
      <c r="C53" s="28" t="inlineStr">
        <is>
          <t>Vista de históricos básicos (últimas 24h / 7 días) por variable</t>
        </is>
      </c>
      <c r="D53" s="28" t="inlineStr">
        <is>
          <t>Dev Frontend</t>
        </is>
      </c>
      <c r="E53" s="47" t="n">
        <v>4</v>
      </c>
      <c r="F53" s="28" t="inlineStr">
        <is>
          <t>Datos almacenados en Firestore</t>
        </is>
      </c>
      <c r="G53" s="28" t="inlineStr">
        <is>
          <t>Por hacer</t>
        </is>
      </c>
      <c r="H53" s="30" t="inlineStr">
        <is>
          <t>La vista /historial es un placeholder; el índice COLLECTION_GROUP de lecturas no está desplegado.</t>
        </is>
      </c>
      <c r="I53" s="28" t="inlineStr">
        <is>
          <t>Plan original</t>
        </is>
      </c>
      <c r="J53" s="74">
        <f>IF($I53="Plan original",INDEX('Roadmap Sprints'!$B$2:$B$9,MATCH(IF($A53="Cierre","Semana de cierre",$A53),'Roadmap Sprints'!$A$2:$A$9,0)),"")</f>
        <v/>
      </c>
      <c r="K53" s="74">
        <f>IF($I53="Plan original",INDEX('Roadmap Sprints'!$C$2:$C$9,MATCH(IF($A53="Cierre","Semana de cierre",$A53),'Roadmap Sprints'!$A$2:$A$9,0)),"")</f>
        <v/>
      </c>
      <c r="L53" s="75" t="n"/>
      <c r="M53" s="76">
        <f>IF(J53="","",NETWORKDAYS(J53,K53))</f>
        <v/>
      </c>
      <c r="N53" s="76">
        <f>IF(J53="","",IF(L53&lt;&gt;"",IF(L53&lt;J53,0,NETWORKDAYS(J53,L53)),IF(G53="Hecho","",IF(Avance!$B$2&lt;J53,0,NETWORKDAYS(J53,Avance!$B$2)))))</f>
        <v/>
      </c>
      <c r="O53" s="76">
        <f>IF(J53="","n/a",IF(L53&lt;&gt;"",L53-K53,IF(G53="Hecho","s/d",MAX(0,Avance!$B$2-K53))))</f>
        <v/>
      </c>
      <c r="P53" s="77">
        <f>IF(ISNUMBER(O53),ROUND(O53/7,1),O53)</f>
        <v/>
      </c>
      <c r="Q53" s="28">
        <f>IF(J53="","No planificada",IF(G53="Hecho",IF(L53="","Hecha (sin fecha)",IF(L53&gt;K53,"Hecha con atraso","Hecha a tiempo")),IF(Avance!$B$2&gt;K53,"Pendiente atrasada","Pendiente en plazo")))</f>
        <v/>
      </c>
      <c r="R53" s="100" t="inlineStr">
        <is>
          <t>HU-04</t>
        </is>
      </c>
    </row>
    <row r="54" ht="15.75" customHeight="1" s="51">
      <c r="A54" s="26" t="inlineStr">
        <is>
          <t>Sprint 5</t>
        </is>
      </c>
      <c r="B54" s="28" t="inlineStr">
        <is>
          <t>Análisis Predictivo</t>
        </is>
      </c>
      <c r="C54" s="28" t="inlineStr">
        <is>
          <t>Empezar a recalibrar/re-entrenar los modelos ML con los primeros datos reales que ya entrega la maqueta</t>
        </is>
      </c>
      <c r="D54" s="28" t="inlineStr">
        <is>
          <t>Dev Backend</t>
        </is>
      </c>
      <c r="E54" s="47" t="n">
        <v>4</v>
      </c>
      <c r="F54" s="28" t="inlineStr">
        <is>
          <t>Datos reales acumulados de la maqueta</t>
        </is>
      </c>
      <c r="G54" s="28" t="inlineStr">
        <is>
          <t>Por hacer</t>
        </is>
      </c>
      <c r="H54" s="30" t="n"/>
      <c r="I54" s="28" t="inlineStr">
        <is>
          <t>Plan original</t>
        </is>
      </c>
      <c r="J54" s="74">
        <f>IF($I54="Plan original",INDEX('Roadmap Sprints'!$B$2:$B$9,MATCH(IF($A54="Cierre","Semana de cierre",$A54),'Roadmap Sprints'!$A$2:$A$9,0)),"")</f>
        <v/>
      </c>
      <c r="K54" s="74">
        <f>IF($I54="Plan original",INDEX('Roadmap Sprints'!$C$2:$C$9,MATCH(IF($A54="Cierre","Semana de cierre",$A54),'Roadmap Sprints'!$A$2:$A$9,0)),"")</f>
        <v/>
      </c>
      <c r="L54" s="75" t="n"/>
      <c r="M54" s="76">
        <f>IF(J54="","",NETWORKDAYS(J54,K54))</f>
        <v/>
      </c>
      <c r="N54" s="76">
        <f>IF(J54="","",IF(L54&lt;&gt;"",IF(L54&lt;J54,0,NETWORKDAYS(J54,L54)),IF(G54="Hecho","",IF(Avance!$B$2&lt;J54,0,NETWORKDAYS(J54,Avance!$B$2)))))</f>
        <v/>
      </c>
      <c r="O54" s="76">
        <f>IF(J54="","n/a",IF(L54&lt;&gt;"",L54-K54,IF(G54="Hecho","s/d",MAX(0,Avance!$B$2-K54))))</f>
        <v/>
      </c>
      <c r="P54" s="77">
        <f>IF(ISNUMBER(O54),ROUND(O54/7,1),O54)</f>
        <v/>
      </c>
      <c r="Q54" s="28">
        <f>IF(J54="","No planificada",IF(G54="Hecho",IF(L54="","Hecha (sin fecha)",IF(L54&gt;K54,"Hecha con atraso","Hecha a tiempo")),IF(Avance!$B$2&gt;K54,"Pendiente atrasada","Pendiente en plazo")))</f>
        <v/>
      </c>
      <c r="R54" s="100" t="inlineStr">
        <is>
          <t>HU-07</t>
        </is>
      </c>
    </row>
    <row r="55" ht="15.75" customHeight="1" s="51">
      <c r="A55" s="39" t="inlineStr">
        <is>
          <t>Sprint 6</t>
        </is>
      </c>
      <c r="B55" s="41" t="inlineStr">
        <is>
          <t>Auth / Seguridad</t>
        </is>
      </c>
      <c r="C55" s="41" t="inlineStr">
        <is>
          <t>Reglas de seguridad de Firestore por rol (cliente vs. interno)</t>
        </is>
      </c>
      <c r="D55" s="41" t="inlineStr">
        <is>
          <t>Dev Auth</t>
        </is>
      </c>
      <c r="E55" s="42" t="n">
        <v>4</v>
      </c>
      <c r="F55" s="41" t="inlineStr">
        <is>
          <t>Roles definidos</t>
        </is>
      </c>
      <c r="G55" s="41" t="inlineStr">
        <is>
          <t>En proceso</t>
        </is>
      </c>
      <c r="H55" s="30" t="inlineStr">
        <is>
          <t>Reglas por rol y tests de reglas hechos; falta limitar los campos que puede escribir el operador (PENDIENTES §9).</t>
        </is>
      </c>
      <c r="I55" s="41" t="inlineStr">
        <is>
          <t>Plan original</t>
        </is>
      </c>
      <c r="J55" s="78">
        <f>IF($I55="Plan original",INDEX('Roadmap Sprints'!$B$2:$B$9,MATCH(IF($A55="Cierre","Semana de cierre",$A55),'Roadmap Sprints'!$A$2:$A$9,0)),"")</f>
        <v/>
      </c>
      <c r="K55" s="78">
        <f>IF($I55="Plan original",INDEX('Roadmap Sprints'!$C$2:$C$9,MATCH(IF($A55="Cierre","Semana de cierre",$A55),'Roadmap Sprints'!$A$2:$A$9,0)),"")</f>
        <v/>
      </c>
      <c r="L55" s="79" t="n"/>
      <c r="M55" s="80">
        <f>IF(J55="","",NETWORKDAYS(J55,K55))</f>
        <v/>
      </c>
      <c r="N55" s="80">
        <f>IF(J55="","",IF(L55&lt;&gt;"",IF(L55&lt;J55,0,NETWORKDAYS(J55,L55)),IF(G55="Hecho","",IF(Avance!$B$2&lt;J55,0,NETWORKDAYS(J55,Avance!$B$2)))))</f>
        <v/>
      </c>
      <c r="O55" s="80">
        <f>IF(J55="","n/a",IF(L55&lt;&gt;"",L55-K55,IF(G55="Hecho","s/d",MAX(0,Avance!$B$2-K55))))</f>
        <v/>
      </c>
      <c r="P55" s="81">
        <f>IF(ISNUMBER(O55),ROUND(O55/7,1),O55)</f>
        <v/>
      </c>
      <c r="Q55" s="41">
        <f>IF(J55="","No planificada",IF(G55="Hecho",IF(L55="","Hecha (sin fecha)",IF(L55&gt;K55,"Hecha con atraso","Hecha a tiempo")),IF(Avance!$B$2&gt;K55,"Pendiente atrasada","Pendiente en plazo")))</f>
        <v/>
      </c>
      <c r="R55" s="101" t="inlineStr">
        <is>
          <t>HU-08</t>
        </is>
      </c>
    </row>
    <row r="56" ht="15.75" customHeight="1" s="51">
      <c r="A56" s="39" t="inlineStr">
        <is>
          <t>Sprint 6</t>
        </is>
      </c>
      <c r="B56" s="41" t="inlineStr">
        <is>
          <t>Auth / Seguridad</t>
        </is>
      </c>
      <c r="C56" s="41" t="inlineStr">
        <is>
          <t>Pantallas y permisos diferenciados por rol de usuario</t>
        </is>
      </c>
      <c r="D56" s="41" t="inlineStr">
        <is>
          <t>Dev Frontend</t>
        </is>
      </c>
      <c r="E56" s="42" t="n">
        <v>4</v>
      </c>
      <c r="F56" s="41" t="inlineStr">
        <is>
          <t>Reglas de seguridad</t>
        </is>
      </c>
      <c r="G56" s="41" t="inlineStr">
        <is>
          <t>En proceso</t>
        </is>
      </c>
      <c r="H56" s="30" t="inlineStr">
        <is>
          <t>GuardRol implementado; hoy el dashboard es solo para admin, faltan las vistas de operador/visor (rol cliente).</t>
        </is>
      </c>
      <c r="I56" s="41" t="inlineStr">
        <is>
          <t>Plan original</t>
        </is>
      </c>
      <c r="J56" s="78">
        <f>IF($I56="Plan original",INDEX('Roadmap Sprints'!$B$2:$B$9,MATCH(IF($A56="Cierre","Semana de cierre",$A56),'Roadmap Sprints'!$A$2:$A$9,0)),"")</f>
        <v/>
      </c>
      <c r="K56" s="78">
        <f>IF($I56="Plan original",INDEX('Roadmap Sprints'!$C$2:$C$9,MATCH(IF($A56="Cierre","Semana de cierre",$A56),'Roadmap Sprints'!$A$2:$A$9,0)),"")</f>
        <v/>
      </c>
      <c r="L56" s="79" t="n"/>
      <c r="M56" s="80">
        <f>IF(J56="","",NETWORKDAYS(J56,K56))</f>
        <v/>
      </c>
      <c r="N56" s="80">
        <f>IF(J56="","",IF(L56&lt;&gt;"",IF(L56&lt;J56,0,NETWORKDAYS(J56,L56)),IF(G56="Hecho","",IF(Avance!$B$2&lt;J56,0,NETWORKDAYS(J56,Avance!$B$2)))))</f>
        <v/>
      </c>
      <c r="O56" s="80">
        <f>IF(J56="","n/a",IF(L56&lt;&gt;"",L56-K56,IF(G56="Hecho","s/d",MAX(0,Avance!$B$2-K56))))</f>
        <v/>
      </c>
      <c r="P56" s="81">
        <f>IF(ISNUMBER(O56),ROUND(O56/7,1),O56)</f>
        <v/>
      </c>
      <c r="Q56" s="41">
        <f>IF(J56="","No planificada",IF(G56="Hecho",IF(L56="","Hecha (sin fecha)",IF(L56&gt;K56,"Hecha con atraso","Hecha a tiempo")),IF(Avance!$B$2&gt;K56,"Pendiente atrasada","Pendiente en plazo")))</f>
        <v/>
      </c>
      <c r="R56" s="101" t="inlineStr">
        <is>
          <t>HU-08</t>
        </is>
      </c>
    </row>
    <row r="57" ht="15.75" customHeight="1" s="51">
      <c r="A57" s="39" t="inlineStr">
        <is>
          <t>Sprint 6</t>
        </is>
      </c>
      <c r="B57" s="41" t="inlineStr">
        <is>
          <t>Backend / Firebase</t>
        </is>
      </c>
      <c r="C57" s="41" t="inlineStr">
        <is>
          <t>Manejo de errores y reconexión ante pérdida de señal de sensores</t>
        </is>
      </c>
      <c r="D57" s="41" t="inlineStr">
        <is>
          <t>Dev Backend</t>
        </is>
      </c>
      <c r="E57" s="42" t="n">
        <v>4</v>
      </c>
      <c r="F57" s="41" t="inlineStr">
        <is>
          <t>Pipeline de ingesta estable</t>
        </is>
      </c>
      <c r="G57" s="41" t="inlineStr">
        <is>
          <t>En proceso</t>
        </is>
      </c>
      <c r="H57" s="30" t="inlineStr">
        <is>
          <t>Hecho: idempotencia de lecturas, validación de payload y detección de equipo sin datos. Falta buffer local en el gateway.</t>
        </is>
      </c>
      <c r="I57" s="41" t="inlineStr">
        <is>
          <t>Plan original</t>
        </is>
      </c>
      <c r="J57" s="78">
        <f>IF($I57="Plan original",INDEX('Roadmap Sprints'!$B$2:$B$9,MATCH(IF($A57="Cierre","Semana de cierre",$A57),'Roadmap Sprints'!$A$2:$A$9,0)),"")</f>
        <v/>
      </c>
      <c r="K57" s="78">
        <f>IF($I57="Plan original",INDEX('Roadmap Sprints'!$C$2:$C$9,MATCH(IF($A57="Cierre","Semana de cierre",$A57),'Roadmap Sprints'!$A$2:$A$9,0)),"")</f>
        <v/>
      </c>
      <c r="L57" s="79" t="n"/>
      <c r="M57" s="80">
        <f>IF(J57="","",NETWORKDAYS(J57,K57))</f>
        <v/>
      </c>
      <c r="N57" s="80">
        <f>IF(J57="","",IF(L57&lt;&gt;"",IF(L57&lt;J57,0,NETWORKDAYS(J57,L57)),IF(G57="Hecho","",IF(Avance!$B$2&lt;J57,0,NETWORKDAYS(J57,Avance!$B$2)))))</f>
        <v/>
      </c>
      <c r="O57" s="80">
        <f>IF(J57="","n/a",IF(L57&lt;&gt;"",L57-K57,IF(G57="Hecho","s/d",MAX(0,Avance!$B$2-K57))))</f>
        <v/>
      </c>
      <c r="P57" s="81">
        <f>IF(ISNUMBER(O57),ROUND(O57/7,1),O57)</f>
        <v/>
      </c>
      <c r="Q57" s="41">
        <f>IF(J57="","No planificada",IF(G57="Hecho",IF(L57="","Hecha (sin fecha)",IF(L57&gt;K57,"Hecha con atraso","Hecha a tiempo")),IF(Avance!$B$2&gt;K57,"Pendiente atrasada","Pendiente en plazo")))</f>
        <v/>
      </c>
      <c r="R57" s="101" t="inlineStr">
        <is>
          <t>HU-12</t>
        </is>
      </c>
    </row>
    <row r="58" ht="15.75" customHeight="1" s="51">
      <c r="A58" s="39" t="inlineStr">
        <is>
          <t>Sprint 6</t>
        </is>
      </c>
      <c r="B58" s="41" t="inlineStr">
        <is>
          <t>Hardware / Sensores</t>
        </is>
      </c>
      <c r="C58" s="41" t="inlineStr">
        <is>
          <t>Prueba de estabilidad de la maqueta en jornada prolongada (8h+)</t>
        </is>
      </c>
      <c r="D58" s="41" t="inlineStr">
        <is>
          <t>Técnico</t>
        </is>
      </c>
      <c r="E58" s="42" t="n">
        <v>3</v>
      </c>
      <c r="F58" s="41" t="inlineStr">
        <is>
          <t>Todos los sensores integrados</t>
        </is>
      </c>
      <c r="G58" s="41" t="inlineStr">
        <is>
          <t>Por hacer</t>
        </is>
      </c>
      <c r="H58" s="30" t="n"/>
      <c r="I58" s="41" t="inlineStr">
        <is>
          <t>Plan original</t>
        </is>
      </c>
      <c r="J58" s="78">
        <f>IF($I58="Plan original",INDEX('Roadmap Sprints'!$B$2:$B$9,MATCH(IF($A58="Cierre","Semana de cierre",$A58),'Roadmap Sprints'!$A$2:$A$9,0)),"")</f>
        <v/>
      </c>
      <c r="K58" s="78">
        <f>IF($I58="Plan original",INDEX('Roadmap Sprints'!$C$2:$C$9,MATCH(IF($A58="Cierre","Semana de cierre",$A58),'Roadmap Sprints'!$A$2:$A$9,0)),"")</f>
        <v/>
      </c>
      <c r="L58" s="79" t="n"/>
      <c r="M58" s="80">
        <f>IF(J58="","",NETWORKDAYS(J58,K58))</f>
        <v/>
      </c>
      <c r="N58" s="80">
        <f>IF(J58="","",IF(L58&lt;&gt;"",IF(L58&lt;J58,0,NETWORKDAYS(J58,L58)),IF(G58="Hecho","",IF(Avance!$B$2&lt;J58,0,NETWORKDAYS(J58,Avance!$B$2)))))</f>
        <v/>
      </c>
      <c r="O58" s="80">
        <f>IF(J58="","n/a",IF(L58&lt;&gt;"",L58-K58,IF(G58="Hecho","s/d",MAX(0,Avance!$B$2-K58))))</f>
        <v/>
      </c>
      <c r="P58" s="81">
        <f>IF(ISNUMBER(O58),ROUND(O58/7,1),O58)</f>
        <v/>
      </c>
      <c r="Q58" s="41">
        <f>IF(J58="","No planificada",IF(G58="Hecho",IF(L58="","Hecha (sin fecha)",IF(L58&gt;K58,"Hecha con atraso","Hecha a tiempo")),IF(Avance!$B$2&gt;K58,"Pendiente atrasada","Pendiente en plazo")))</f>
        <v/>
      </c>
      <c r="R58" s="101" t="inlineStr">
        <is>
          <t>HT-03</t>
        </is>
      </c>
    </row>
    <row r="59" ht="15.75" customHeight="1" s="51">
      <c r="A59" s="39" t="inlineStr">
        <is>
          <t>Sprint 6</t>
        </is>
      </c>
      <c r="B59" s="41" t="inlineStr">
        <is>
          <t>Análisis Predictivo</t>
        </is>
      </c>
      <c r="C59" s="41" t="inlineStr">
        <is>
          <t>Validar precisión/utilidad de los modelos ML contra los datos reales acumulados y ajustar</t>
        </is>
      </c>
      <c r="D59" s="41" t="inlineStr">
        <is>
          <t>Dev Backend</t>
        </is>
      </c>
      <c r="E59" s="42" t="n">
        <v>4</v>
      </c>
      <c r="F59" s="41" t="inlineStr">
        <is>
          <t>Modelos recalibrados</t>
        </is>
      </c>
      <c r="G59" s="41" t="inlineStr">
        <is>
          <t>Por hacer</t>
        </is>
      </c>
      <c r="H59" s="30" t="n"/>
      <c r="I59" s="41" t="inlineStr">
        <is>
          <t>Plan original</t>
        </is>
      </c>
      <c r="J59" s="78">
        <f>IF($I59="Plan original",INDEX('Roadmap Sprints'!$B$2:$B$9,MATCH(IF($A59="Cierre","Semana de cierre",$A59),'Roadmap Sprints'!$A$2:$A$9,0)),"")</f>
        <v/>
      </c>
      <c r="K59" s="78">
        <f>IF($I59="Plan original",INDEX('Roadmap Sprints'!$C$2:$C$9,MATCH(IF($A59="Cierre","Semana de cierre",$A59),'Roadmap Sprints'!$A$2:$A$9,0)),"")</f>
        <v/>
      </c>
      <c r="L59" s="79" t="n"/>
      <c r="M59" s="80">
        <f>IF(J59="","",NETWORKDAYS(J59,K59))</f>
        <v/>
      </c>
      <c r="N59" s="80">
        <f>IF(J59="","",IF(L59&lt;&gt;"",IF(L59&lt;J59,0,NETWORKDAYS(J59,L59)),IF(G59="Hecho","",IF(Avance!$B$2&lt;J59,0,NETWORKDAYS(J59,Avance!$B$2)))))</f>
        <v/>
      </c>
      <c r="O59" s="80">
        <f>IF(J59="","n/a",IF(L59&lt;&gt;"",L59-K59,IF(G59="Hecho","s/d",MAX(0,Avance!$B$2-K59))))</f>
        <v/>
      </c>
      <c r="P59" s="81">
        <f>IF(ISNUMBER(O59),ROUND(O59/7,1),O59)</f>
        <v/>
      </c>
      <c r="Q59" s="41">
        <f>IF(J59="","No planificada",IF(G59="Hecho",IF(L59="","Hecha (sin fecha)",IF(L59&gt;K59,"Hecha con atraso","Hecha a tiempo")),IF(Avance!$B$2&gt;K59,"Pendiente atrasada","Pendiente en plazo")))</f>
        <v/>
      </c>
      <c r="R59" s="101" t="inlineStr">
        <is>
          <t>HU-07</t>
        </is>
      </c>
    </row>
    <row r="60" ht="15.75" customHeight="1" s="51">
      <c r="A60" s="39" t="inlineStr">
        <is>
          <t>Sprint 6</t>
        </is>
      </c>
      <c r="B60" s="41" t="inlineStr">
        <is>
          <t>Análisis Predictivo</t>
        </is>
      </c>
      <c r="C60" s="41" t="inlineStr">
        <is>
          <t>Pulir el panel de análisis predictivo en el dashboard (mensajes claros de proyección/alerta)</t>
        </is>
      </c>
      <c r="D60" s="41" t="inlineStr">
        <is>
          <t>Dev Frontend</t>
        </is>
      </c>
      <c r="E60" s="42" t="n">
        <v>3</v>
      </c>
      <c r="F60" s="41" t="inlineStr">
        <is>
          <t>Modelos validados</t>
        </is>
      </c>
      <c r="G60" s="41" t="inlineStr">
        <is>
          <t>Por hacer</t>
        </is>
      </c>
      <c r="H60" s="30" t="n"/>
      <c r="I60" s="41" t="inlineStr">
        <is>
          <t>Plan original</t>
        </is>
      </c>
      <c r="J60" s="78">
        <f>IF($I60="Plan original",INDEX('Roadmap Sprints'!$B$2:$B$9,MATCH(IF($A60="Cierre","Semana de cierre",$A60),'Roadmap Sprints'!$A$2:$A$9,0)),"")</f>
        <v/>
      </c>
      <c r="K60" s="78">
        <f>IF($I60="Plan original",INDEX('Roadmap Sprints'!$C$2:$C$9,MATCH(IF($A60="Cierre","Semana de cierre",$A60),'Roadmap Sprints'!$A$2:$A$9,0)),"")</f>
        <v/>
      </c>
      <c r="L60" s="79" t="n"/>
      <c r="M60" s="80">
        <f>IF(J60="","",NETWORKDAYS(J60,K60))</f>
        <v/>
      </c>
      <c r="N60" s="80">
        <f>IF(J60="","",IF(L60&lt;&gt;"",IF(L60&lt;J60,0,NETWORKDAYS(J60,L60)),IF(G60="Hecho","",IF(Avance!$B$2&lt;J60,0,NETWORKDAYS(J60,Avance!$B$2)))))</f>
        <v/>
      </c>
      <c r="O60" s="80">
        <f>IF(J60="","n/a",IF(L60&lt;&gt;"",L60-K60,IF(G60="Hecho","s/d",MAX(0,Avance!$B$2-K60))))</f>
        <v/>
      </c>
      <c r="P60" s="81">
        <f>IF(ISNUMBER(O60),ROUND(O60/7,1),O60)</f>
        <v/>
      </c>
      <c r="Q60" s="41">
        <f>IF(J60="","No planificada",IF(G60="Hecho",IF(L60="","Hecha (sin fecha)",IF(L60&gt;K60,"Hecha con atraso","Hecha a tiempo")),IF(Avance!$B$2&gt;K60,"Pendiente atrasada","Pendiente en plazo")))</f>
        <v/>
      </c>
      <c r="R60" s="101" t="inlineStr">
        <is>
          <t>HU-07</t>
        </is>
      </c>
    </row>
    <row r="61" ht="15.75" customHeight="1" s="51">
      <c r="A61" s="8" t="inlineStr">
        <is>
          <t>Sprint 7</t>
        </is>
      </c>
      <c r="B61" s="13" t="inlineStr">
        <is>
          <t>QA / DevOps / Documentación</t>
        </is>
      </c>
      <c r="C61" s="13" t="inlineStr">
        <is>
          <t>Pruebas end-to-end e integrales de todo el flujo de datos</t>
        </is>
      </c>
      <c r="D61" s="13" t="inlineStr">
        <is>
          <t>Equipo completo</t>
        </is>
      </c>
      <c r="E61" s="12" t="n">
        <v>4</v>
      </c>
      <c r="F61" s="13" t="inlineStr">
        <is>
          <t>Pipeline completo</t>
        </is>
      </c>
      <c r="G61" s="13" t="inlineStr">
        <is>
          <t>Por hacer</t>
        </is>
      </c>
      <c r="H61" s="30" t="n"/>
      <c r="I61" s="13" t="inlineStr">
        <is>
          <t>Plan original</t>
        </is>
      </c>
      <c r="J61" s="82">
        <f>IF($I61="Plan original",INDEX('Roadmap Sprints'!$B$2:$B$9,MATCH(IF($A61="Cierre","Semana de cierre",$A61),'Roadmap Sprints'!$A$2:$A$9,0)),"")</f>
        <v/>
      </c>
      <c r="K61" s="82">
        <f>IF($I61="Plan original",INDEX('Roadmap Sprints'!$C$2:$C$9,MATCH(IF($A61="Cierre","Semana de cierre",$A61),'Roadmap Sprints'!$A$2:$A$9,0)),"")</f>
        <v/>
      </c>
      <c r="L61" s="83" t="n"/>
      <c r="M61" s="84">
        <f>IF(J61="","",NETWORKDAYS(J61,K61))</f>
        <v/>
      </c>
      <c r="N61" s="84">
        <f>IF(J61="","",IF(L61&lt;&gt;"",IF(L61&lt;J61,0,NETWORKDAYS(J61,L61)),IF(G61="Hecho","",IF(Avance!$B$2&lt;J61,0,NETWORKDAYS(J61,Avance!$B$2)))))</f>
        <v/>
      </c>
      <c r="O61" s="84">
        <f>IF(J61="","n/a",IF(L61&lt;&gt;"",L61-K61,IF(G61="Hecho","s/d",MAX(0,Avance!$B$2-K61))))</f>
        <v/>
      </c>
      <c r="P61" s="85">
        <f>IF(ISNUMBER(O61),ROUND(O61/7,1),O61)</f>
        <v/>
      </c>
      <c r="Q61" s="13">
        <f>IF(J61="","No planificada",IF(G61="Hecho",IF(L61="","Hecha (sin fecha)",IF(L61&gt;K61,"Hecha con atraso","Hecha a tiempo")),IF(Avance!$B$2&gt;K61,"Pendiente atrasada","Pendiente en plazo")))</f>
        <v/>
      </c>
      <c r="R61" s="102" t="inlineStr">
        <is>
          <t>HT-04</t>
        </is>
      </c>
    </row>
    <row r="62" ht="15.75" customHeight="1" s="51">
      <c r="A62" s="8" t="inlineStr">
        <is>
          <t>Sprint 7</t>
        </is>
      </c>
      <c r="B62" s="13" t="inlineStr">
        <is>
          <t>QA / DevOps / Documentación</t>
        </is>
      </c>
      <c r="C62" s="13" t="inlineStr">
        <is>
          <t>Pruebas de carga con flujo continuo/masivo de datos de sensores</t>
        </is>
      </c>
      <c r="D62" s="13" t="inlineStr">
        <is>
          <t>Dev Backend</t>
        </is>
      </c>
      <c r="E62" s="12" t="n">
        <v>3</v>
      </c>
      <c r="F62" s="13" t="inlineStr">
        <is>
          <t>Pipeline completo</t>
        </is>
      </c>
      <c r="G62" s="13" t="inlineStr">
        <is>
          <t>Por hacer</t>
        </is>
      </c>
      <c r="H62" s="30" t="n"/>
      <c r="I62" s="13" t="inlineStr">
        <is>
          <t>Plan original</t>
        </is>
      </c>
      <c r="J62" s="82">
        <f>IF($I62="Plan original",INDEX('Roadmap Sprints'!$B$2:$B$9,MATCH(IF($A62="Cierre","Semana de cierre",$A62),'Roadmap Sprints'!$A$2:$A$9,0)),"")</f>
        <v/>
      </c>
      <c r="K62" s="82">
        <f>IF($I62="Plan original",INDEX('Roadmap Sprints'!$C$2:$C$9,MATCH(IF($A62="Cierre","Semana de cierre",$A62),'Roadmap Sprints'!$A$2:$A$9,0)),"")</f>
        <v/>
      </c>
      <c r="L62" s="83" t="n"/>
      <c r="M62" s="84">
        <f>IF(J62="","",NETWORKDAYS(J62,K62))</f>
        <v/>
      </c>
      <c r="N62" s="84">
        <f>IF(J62="","",IF(L62&lt;&gt;"",IF(L62&lt;J62,0,NETWORKDAYS(J62,L62)),IF(G62="Hecho","",IF(Avance!$B$2&lt;J62,0,NETWORKDAYS(J62,Avance!$B$2)))))</f>
        <v/>
      </c>
      <c r="O62" s="84">
        <f>IF(J62="","n/a",IF(L62&lt;&gt;"",L62-K62,IF(G62="Hecho","s/d",MAX(0,Avance!$B$2-K62))))</f>
        <v/>
      </c>
      <c r="P62" s="85">
        <f>IF(ISNUMBER(O62),ROUND(O62/7,1),O62)</f>
        <v/>
      </c>
      <c r="Q62" s="13">
        <f>IF(J62="","No planificada",IF(G62="Hecho",IF(L62="","Hecha (sin fecha)",IF(L62&gt;K62,"Hecha con atraso","Hecha a tiempo")),IF(Avance!$B$2&gt;K62,"Pendiente atrasada","Pendiente en plazo")))</f>
        <v/>
      </c>
      <c r="R62" s="102" t="inlineStr">
        <is>
          <t>HT-04</t>
        </is>
      </c>
    </row>
    <row r="63" ht="15.75" customHeight="1" s="51">
      <c r="A63" s="8" t="inlineStr">
        <is>
          <t>Sprint 7</t>
        </is>
      </c>
      <c r="B63" s="13" t="inlineStr">
        <is>
          <t>QA / DevOps / Documentación</t>
        </is>
      </c>
      <c r="C63" s="13" t="inlineStr">
        <is>
          <t>Corrección de bugs detectados en pruebas</t>
        </is>
      </c>
      <c r="D63" s="13" t="inlineStr">
        <is>
          <t>Equipo completo</t>
        </is>
      </c>
      <c r="E63" s="12" t="n">
        <v>4</v>
      </c>
      <c r="F63" s="13" t="inlineStr">
        <is>
          <t>Resultados de pruebas</t>
        </is>
      </c>
      <c r="G63" s="13" t="inlineStr">
        <is>
          <t>Por hacer</t>
        </is>
      </c>
      <c r="H63" s="30" t="n"/>
      <c r="I63" s="13" t="inlineStr">
        <is>
          <t>Plan original</t>
        </is>
      </c>
      <c r="J63" s="82">
        <f>IF($I63="Plan original",INDEX('Roadmap Sprints'!$B$2:$B$9,MATCH(IF($A63="Cierre","Semana de cierre",$A63),'Roadmap Sprints'!$A$2:$A$9,0)),"")</f>
        <v/>
      </c>
      <c r="K63" s="82">
        <f>IF($I63="Plan original",INDEX('Roadmap Sprints'!$C$2:$C$9,MATCH(IF($A63="Cierre","Semana de cierre",$A63),'Roadmap Sprints'!$A$2:$A$9,0)),"")</f>
        <v/>
      </c>
      <c r="L63" s="83" t="n"/>
      <c r="M63" s="84">
        <f>IF(J63="","",NETWORKDAYS(J63,K63))</f>
        <v/>
      </c>
      <c r="N63" s="84">
        <f>IF(J63="","",IF(L63&lt;&gt;"",IF(L63&lt;J63,0,NETWORKDAYS(J63,L63)),IF(G63="Hecho","",IF(Avance!$B$2&lt;J63,0,NETWORKDAYS(J63,Avance!$B$2)))))</f>
        <v/>
      </c>
      <c r="O63" s="84">
        <f>IF(J63="","n/a",IF(L63&lt;&gt;"",L63-K63,IF(G63="Hecho","s/d",MAX(0,Avance!$B$2-K63))))</f>
        <v/>
      </c>
      <c r="P63" s="85">
        <f>IF(ISNUMBER(O63),ROUND(O63/7,1),O63)</f>
        <v/>
      </c>
      <c r="Q63" s="13">
        <f>IF(J63="","No planificada",IF(G63="Hecho",IF(L63="","Hecha (sin fecha)",IF(L63&gt;K63,"Hecha con atraso","Hecha a tiempo")),IF(Avance!$B$2&gt;K63,"Pendiente atrasada","Pendiente en plazo")))</f>
        <v/>
      </c>
      <c r="R63" s="102" t="inlineStr">
        <is>
          <t>HT-04</t>
        </is>
      </c>
    </row>
    <row r="64" ht="15.75" customHeight="1" s="51">
      <c r="A64" s="8" t="inlineStr">
        <is>
          <t>Sprint 7</t>
        </is>
      </c>
      <c r="B64" s="13" t="inlineStr">
        <is>
          <t>QA / DevOps / Documentación</t>
        </is>
      </c>
      <c r="C64" s="13" t="inlineStr">
        <is>
          <t>Documentación técnica (arquitectura, despliegue) y manual de usuario</t>
        </is>
      </c>
      <c r="D64" s="13" t="inlineStr">
        <is>
          <t>Equipo completo</t>
        </is>
      </c>
      <c r="E64" s="12" t="n">
        <v>3</v>
      </c>
      <c r="F64" s="13" t="inlineStr">
        <is>
          <t>-</t>
        </is>
      </c>
      <c r="G64" s="13" t="inlineStr">
        <is>
          <t>En proceso</t>
        </is>
      </c>
      <c r="H64" s="30" t="inlineStr">
        <is>
          <t>Hecho: README, DESPLIEGUE.md, SPRINT1/3.md, EXPLICACION-SISTEMA-SENSORES.md. Falta el manual de usuario.</t>
        </is>
      </c>
      <c r="I64" s="13" t="inlineStr">
        <is>
          <t>Plan original</t>
        </is>
      </c>
      <c r="J64" s="82">
        <f>IF($I64="Plan original",INDEX('Roadmap Sprints'!$B$2:$B$9,MATCH(IF($A64="Cierre","Semana de cierre",$A64),'Roadmap Sprints'!$A$2:$A$9,0)),"")</f>
        <v/>
      </c>
      <c r="K64" s="82">
        <f>IF($I64="Plan original",INDEX('Roadmap Sprints'!$C$2:$C$9,MATCH(IF($A64="Cierre","Semana de cierre",$A64),'Roadmap Sprints'!$A$2:$A$9,0)),"")</f>
        <v/>
      </c>
      <c r="L64" s="83" t="n"/>
      <c r="M64" s="84">
        <f>IF(J64="","",NETWORKDAYS(J64,K64))</f>
        <v/>
      </c>
      <c r="N64" s="84">
        <f>IF(J64="","",IF(L64&lt;&gt;"",IF(L64&lt;J64,0,NETWORKDAYS(J64,L64)),IF(G64="Hecho","",IF(Avance!$B$2&lt;J64,0,NETWORKDAYS(J64,Avance!$B$2)))))</f>
        <v/>
      </c>
      <c r="O64" s="84">
        <f>IF(J64="","n/a",IF(L64&lt;&gt;"",L64-K64,IF(G64="Hecho","s/d",MAX(0,Avance!$B$2-K64))))</f>
        <v/>
      </c>
      <c r="P64" s="85">
        <f>IF(ISNUMBER(O64),ROUND(O64/7,1),O64)</f>
        <v/>
      </c>
      <c r="Q64" s="13">
        <f>IF(J64="","No planificada",IF(G64="Hecho",IF(L64="","Hecha (sin fecha)",IF(L64&gt;K64,"Hecha con atraso","Hecha a tiempo")),IF(Avance!$B$2&gt;K64,"Pendiente atrasada","Pendiente en plazo")))</f>
        <v/>
      </c>
      <c r="R64" s="102" t="inlineStr">
        <is>
          <t>HT-05</t>
        </is>
      </c>
    </row>
    <row r="65" ht="15.75" customHeight="1" s="51">
      <c r="A65" s="8" t="inlineStr">
        <is>
          <t>Sprint 7</t>
        </is>
      </c>
      <c r="B65" s="13" t="inlineStr">
        <is>
          <t>Backend / Firebase</t>
        </is>
      </c>
      <c r="C65" s="13" t="inlineStr">
        <is>
          <t>Despliegue a ambiente estable/producción en Firebase Hosting</t>
        </is>
      </c>
      <c r="D65" s="13" t="inlineStr">
        <is>
          <t>Dev Backend</t>
        </is>
      </c>
      <c r="E65" s="12" t="n">
        <v>2</v>
      </c>
      <c r="F65" s="13" t="inlineStr">
        <is>
          <t>Bugs corregidos</t>
        </is>
      </c>
      <c r="G65" s="13" t="inlineStr">
        <is>
          <t>En proceso</t>
        </is>
      </c>
      <c r="H65" s="30" t="inlineStr">
        <is>
          <t>Ya hay un despliegue en producción (stormcip-972bd); falta el despliegue de la versión final y un staging.</t>
        </is>
      </c>
      <c r="I65" s="13" t="inlineStr">
        <is>
          <t>Plan original</t>
        </is>
      </c>
      <c r="J65" s="82">
        <f>IF($I65="Plan original",INDEX('Roadmap Sprints'!$B$2:$B$9,MATCH(IF($A65="Cierre","Semana de cierre",$A65),'Roadmap Sprints'!$A$2:$A$9,0)),"")</f>
        <v/>
      </c>
      <c r="K65" s="82">
        <f>IF($I65="Plan original",INDEX('Roadmap Sprints'!$C$2:$C$9,MATCH(IF($A65="Cierre","Semana de cierre",$A65),'Roadmap Sprints'!$A$2:$A$9,0)),"")</f>
        <v/>
      </c>
      <c r="L65" s="83" t="n"/>
      <c r="M65" s="84">
        <f>IF(J65="","",NETWORKDAYS(J65,K65))</f>
        <v/>
      </c>
      <c r="N65" s="84">
        <f>IF(J65="","",IF(L65&lt;&gt;"",IF(L65&lt;J65,0,NETWORKDAYS(J65,L65)),IF(G65="Hecho","",IF(Avance!$B$2&lt;J65,0,NETWORKDAYS(J65,Avance!$B$2)))))</f>
        <v/>
      </c>
      <c r="O65" s="84">
        <f>IF(J65="","n/a",IF(L65&lt;&gt;"",L65-K65,IF(G65="Hecho","s/d",MAX(0,Avance!$B$2-K65))))</f>
        <v/>
      </c>
      <c r="P65" s="85">
        <f>IF(ISNUMBER(O65),ROUND(O65/7,1),O65)</f>
        <v/>
      </c>
      <c r="Q65" s="13">
        <f>IF(J65="","No planificada",IF(G65="Hecho",IF(L65="","Hecha (sin fecha)",IF(L65&gt;K65,"Hecha con atraso","Hecha a tiempo")),IF(Avance!$B$2&gt;K65,"Pendiente atrasada","Pendiente en plazo")))</f>
        <v/>
      </c>
      <c r="R65" s="102" t="inlineStr">
        <is>
          <t>HT-01</t>
        </is>
      </c>
    </row>
    <row r="66" ht="15.75" customHeight="1" s="51">
      <c r="A66" s="8" t="inlineStr">
        <is>
          <t>Sprint 7</t>
        </is>
      </c>
      <c r="B66" s="13" t="inlineStr">
        <is>
          <t>QA / DevOps / Documentación</t>
        </is>
      </c>
      <c r="C66" s="13" t="inlineStr">
        <is>
          <t>Pruebas de aceptación interna (UAT) con datos reales de la maqueta, incluyendo el panel predictivo</t>
        </is>
      </c>
      <c r="D66" s="13" t="inlineStr">
        <is>
          <t>Equipo completo</t>
        </is>
      </c>
      <c r="E66" s="12" t="n">
        <v>3</v>
      </c>
      <c r="F66" s="13" t="inlineStr">
        <is>
          <t>Ambiente estable</t>
        </is>
      </c>
      <c r="G66" s="13" t="inlineStr">
        <is>
          <t>Por hacer</t>
        </is>
      </c>
      <c r="H66" s="30" t="n"/>
      <c r="I66" s="13" t="inlineStr">
        <is>
          <t>Plan original</t>
        </is>
      </c>
      <c r="J66" s="82">
        <f>IF($I66="Plan original",INDEX('Roadmap Sprints'!$B$2:$B$9,MATCH(IF($A66="Cierre","Semana de cierre",$A66),'Roadmap Sprints'!$A$2:$A$9,0)),"")</f>
        <v/>
      </c>
      <c r="K66" s="82">
        <f>IF($I66="Plan original",INDEX('Roadmap Sprints'!$C$2:$C$9,MATCH(IF($A66="Cierre","Semana de cierre",$A66),'Roadmap Sprints'!$A$2:$A$9,0)),"")</f>
        <v/>
      </c>
      <c r="L66" s="83" t="n"/>
      <c r="M66" s="84">
        <f>IF(J66="","",NETWORKDAYS(J66,K66))</f>
        <v/>
      </c>
      <c r="N66" s="84">
        <f>IF(J66="","",IF(L66&lt;&gt;"",IF(L66&lt;J66,0,NETWORKDAYS(J66,L66)),IF(G66="Hecho","",IF(Avance!$B$2&lt;J66,0,NETWORKDAYS(J66,Avance!$B$2)))))</f>
        <v/>
      </c>
      <c r="O66" s="84">
        <f>IF(J66="","n/a",IF(L66&lt;&gt;"",L66-K66,IF(G66="Hecho","s/d",MAX(0,Avance!$B$2-K66))))</f>
        <v/>
      </c>
      <c r="P66" s="85">
        <f>IF(ISNUMBER(O66),ROUND(O66/7,1),O66)</f>
        <v/>
      </c>
      <c r="Q66" s="13">
        <f>IF(J66="","No planificada",IF(G66="Hecho",IF(L66="","Hecha (sin fecha)",IF(L66&gt;K66,"Hecha con atraso","Hecha a tiempo")),IF(Avance!$B$2&gt;K66,"Pendiente atrasada","Pendiente en plazo")))</f>
        <v/>
      </c>
      <c r="R66" s="102" t="inlineStr">
        <is>
          <t>HT-04</t>
        </is>
      </c>
    </row>
    <row r="67" ht="15.75" customHeight="1" s="51">
      <c r="A67" s="8" t="inlineStr">
        <is>
          <t>Sprint 7</t>
        </is>
      </c>
      <c r="B67" s="13" t="inlineStr">
        <is>
          <t>Gestión de proyecto</t>
        </is>
      </c>
      <c r="C67" s="13" t="inlineStr">
        <is>
          <t>Preparar guion y datos de la demo para el cliente</t>
        </is>
      </c>
      <c r="D67" s="13" t="inlineStr">
        <is>
          <t>Equipo completo</t>
        </is>
      </c>
      <c r="E67" s="12" t="n">
        <v>2</v>
      </c>
      <c r="F67" s="13" t="inlineStr">
        <is>
          <t>UAT aprobado</t>
        </is>
      </c>
      <c r="G67" s="13" t="inlineStr">
        <is>
          <t>Por hacer</t>
        </is>
      </c>
      <c r="H67" s="30" t="n"/>
      <c r="I67" s="13" t="inlineStr">
        <is>
          <t>Plan original</t>
        </is>
      </c>
      <c r="J67" s="82">
        <f>IF($I67="Plan original",INDEX('Roadmap Sprints'!$B$2:$B$9,MATCH(IF($A67="Cierre","Semana de cierre",$A67),'Roadmap Sprints'!$A$2:$A$9,0)),"")</f>
        <v/>
      </c>
      <c r="K67" s="82">
        <f>IF($I67="Plan original",INDEX('Roadmap Sprints'!$C$2:$C$9,MATCH(IF($A67="Cierre","Semana de cierre",$A67),'Roadmap Sprints'!$A$2:$A$9,0)),"")</f>
        <v/>
      </c>
      <c r="L67" s="83" t="n"/>
      <c r="M67" s="84">
        <f>IF(J67="","",NETWORKDAYS(J67,K67))</f>
        <v/>
      </c>
      <c r="N67" s="84">
        <f>IF(J67="","",IF(L67&lt;&gt;"",IF(L67&lt;J67,0,NETWORKDAYS(J67,L67)),IF(G67="Hecho","",IF(Avance!$B$2&lt;J67,0,NETWORKDAYS(J67,Avance!$B$2)))))</f>
        <v/>
      </c>
      <c r="O67" s="84">
        <f>IF(J67="","n/a",IF(L67&lt;&gt;"",L67-K67,IF(G67="Hecho","s/d",MAX(0,Avance!$B$2-K67))))</f>
        <v/>
      </c>
      <c r="P67" s="85">
        <f>IF(ISNUMBER(O67),ROUND(O67/7,1),O67)</f>
        <v/>
      </c>
      <c r="Q67" s="13">
        <f>IF(J67="","No planificada",IF(G67="Hecho",IF(L67="","Hecha (sin fecha)",IF(L67&gt;K67,"Hecha con atraso","Hecha a tiempo")),IF(Avance!$B$2&gt;K67,"Pendiente atrasada","Pendiente en plazo")))</f>
        <v/>
      </c>
      <c r="R67" s="102" t="inlineStr">
        <is>
          <t>GE-01</t>
        </is>
      </c>
    </row>
    <row r="68" ht="15.75" customHeight="1" s="51">
      <c r="A68" s="8" t="inlineStr">
        <is>
          <t>Sprint 7</t>
        </is>
      </c>
      <c r="B68" s="13" t="inlineStr">
        <is>
          <t>Hardware / Sensores</t>
        </is>
      </c>
      <c r="C68" s="13" t="inlineStr">
        <is>
          <t>Preparar maqueta para transporte/instalación en el lugar de la demo</t>
        </is>
      </c>
      <c r="D68" s="13" t="inlineStr">
        <is>
          <t>Técnico</t>
        </is>
      </c>
      <c r="E68" s="12" t="n">
        <v>2</v>
      </c>
      <c r="F68" s="13" t="inlineStr">
        <is>
          <t>Maqueta estable</t>
        </is>
      </c>
      <c r="G68" s="13" t="inlineStr">
        <is>
          <t>Por hacer</t>
        </is>
      </c>
      <c r="H68" s="30" t="n"/>
      <c r="I68" s="13" t="inlineStr">
        <is>
          <t>Plan original</t>
        </is>
      </c>
      <c r="J68" s="82">
        <f>IF($I68="Plan original",INDEX('Roadmap Sprints'!$B$2:$B$9,MATCH(IF($A68="Cierre","Semana de cierre",$A68),'Roadmap Sprints'!$A$2:$A$9,0)),"")</f>
        <v/>
      </c>
      <c r="K68" s="82">
        <f>IF($I68="Plan original",INDEX('Roadmap Sprints'!$C$2:$C$9,MATCH(IF($A68="Cierre","Semana de cierre",$A68),'Roadmap Sprints'!$A$2:$A$9,0)),"")</f>
        <v/>
      </c>
      <c r="L68" s="83" t="n"/>
      <c r="M68" s="84">
        <f>IF(J68="","",NETWORKDAYS(J68,K68))</f>
        <v/>
      </c>
      <c r="N68" s="84">
        <f>IF(J68="","",IF(L68&lt;&gt;"",IF(L68&lt;J68,0,NETWORKDAYS(J68,L68)),IF(G68="Hecho","",IF(Avance!$B$2&lt;J68,0,NETWORKDAYS(J68,Avance!$B$2)))))</f>
        <v/>
      </c>
      <c r="O68" s="84">
        <f>IF(J68="","n/a",IF(L68&lt;&gt;"",L68-K68,IF(G68="Hecho","s/d",MAX(0,Avance!$B$2-K68))))</f>
        <v/>
      </c>
      <c r="P68" s="85">
        <f>IF(ISNUMBER(O68),ROUND(O68/7,1),O68)</f>
        <v/>
      </c>
      <c r="Q68" s="13">
        <f>IF(J68="","No planificada",IF(G68="Hecho",IF(L68="","Hecha (sin fecha)",IF(L68&gt;K68,"Hecha con atraso","Hecha a tiempo")),IF(Avance!$B$2&gt;K68,"Pendiente atrasada","Pendiente en plazo")))</f>
        <v/>
      </c>
      <c r="R68" s="102" t="inlineStr">
        <is>
          <t>HT-03</t>
        </is>
      </c>
    </row>
    <row r="69" ht="15.75" customHeight="1" s="51">
      <c r="A69" s="8" t="inlineStr">
        <is>
          <t>Cierre</t>
        </is>
      </c>
      <c r="B69" s="13" t="inlineStr">
        <is>
          <t>QA / DevOps / Documentación</t>
        </is>
      </c>
      <c r="C69" s="13" t="inlineStr">
        <is>
          <t>Corrección de bugs críticos de última hora</t>
        </is>
      </c>
      <c r="D69" s="13" t="inlineStr">
        <is>
          <t>Equipo completo</t>
        </is>
      </c>
      <c r="E69" s="12" t="n">
        <v>2</v>
      </c>
      <c r="F69" s="13" t="inlineStr">
        <is>
          <t>Resultados de UAT</t>
        </is>
      </c>
      <c r="G69" s="13" t="inlineStr">
        <is>
          <t>Por hacer</t>
        </is>
      </c>
      <c r="H69" s="30" t="n"/>
      <c r="I69" s="13" t="inlineStr">
        <is>
          <t>Plan original</t>
        </is>
      </c>
      <c r="J69" s="82">
        <f>IF($I69="Plan original",INDEX('Roadmap Sprints'!$B$2:$B$9,MATCH(IF($A69="Cierre","Semana de cierre",$A69),'Roadmap Sprints'!$A$2:$A$9,0)),"")</f>
        <v/>
      </c>
      <c r="K69" s="82">
        <f>IF($I69="Plan original",INDEX('Roadmap Sprints'!$C$2:$C$9,MATCH(IF($A69="Cierre","Semana de cierre",$A69),'Roadmap Sprints'!$A$2:$A$9,0)),"")</f>
        <v/>
      </c>
      <c r="L69" s="83" t="n"/>
      <c r="M69" s="84">
        <f>IF(J69="","",NETWORKDAYS(J69,K69))</f>
        <v/>
      </c>
      <c r="N69" s="84">
        <f>IF(J69="","",IF(L69&lt;&gt;"",IF(L69&lt;J69,0,NETWORKDAYS(J69,L69)),IF(G69="Hecho","",IF(Avance!$B$2&lt;J69,0,NETWORKDAYS(J69,Avance!$B$2)))))</f>
        <v/>
      </c>
      <c r="O69" s="84">
        <f>IF(J69="","n/a",IF(L69&lt;&gt;"",L69-K69,IF(G69="Hecho","s/d",MAX(0,Avance!$B$2-K69))))</f>
        <v/>
      </c>
      <c r="P69" s="85">
        <f>IF(ISNUMBER(O69),ROUND(O69/7,1),O69)</f>
        <v/>
      </c>
      <c r="Q69" s="13">
        <f>IF(J69="","No planificada",IF(G69="Hecho",IF(L69="","Hecha (sin fecha)",IF(L69&gt;K69,"Hecha con atraso","Hecha a tiempo")),IF(Avance!$B$2&gt;K69,"Pendiente atrasada","Pendiente en plazo")))</f>
        <v/>
      </c>
      <c r="R69" s="102" t="inlineStr">
        <is>
          <t>HT-04</t>
        </is>
      </c>
    </row>
    <row r="70" ht="15.75" customHeight="1" s="51">
      <c r="A70" s="8" t="inlineStr">
        <is>
          <t>Cierre</t>
        </is>
      </c>
      <c r="B70" s="13" t="inlineStr">
        <is>
          <t>Gestión de proyecto</t>
        </is>
      </c>
      <c r="C70" s="13" t="inlineStr">
        <is>
          <t>Ensayo general de la demo con equipo completo y maqueta</t>
        </is>
      </c>
      <c r="D70" s="13" t="inlineStr">
        <is>
          <t>Equipo completo</t>
        </is>
      </c>
      <c r="E70" s="12" t="n">
        <v>1</v>
      </c>
      <c r="F70" s="13" t="inlineStr">
        <is>
          <t>Guion de demo listo</t>
        </is>
      </c>
      <c r="G70" s="13" t="inlineStr">
        <is>
          <t>Por hacer</t>
        </is>
      </c>
      <c r="H70" s="30" t="n"/>
      <c r="I70" s="13" t="inlineStr">
        <is>
          <t>Plan original</t>
        </is>
      </c>
      <c r="J70" s="82">
        <f>IF($I70="Plan original",INDEX('Roadmap Sprints'!$B$2:$B$9,MATCH(IF($A70="Cierre","Semana de cierre",$A70),'Roadmap Sprints'!$A$2:$A$9,0)),"")</f>
        <v/>
      </c>
      <c r="K70" s="82">
        <f>IF($I70="Plan original",INDEX('Roadmap Sprints'!$C$2:$C$9,MATCH(IF($A70="Cierre","Semana de cierre",$A70),'Roadmap Sprints'!$A$2:$A$9,0)),"")</f>
        <v/>
      </c>
      <c r="L70" s="83" t="n"/>
      <c r="M70" s="84">
        <f>IF(J70="","",NETWORKDAYS(J70,K70))</f>
        <v/>
      </c>
      <c r="N70" s="84">
        <f>IF(J70="","",IF(L70&lt;&gt;"",IF(L70&lt;J70,0,NETWORKDAYS(J70,L70)),IF(G70="Hecho","",IF(Avance!$B$2&lt;J70,0,NETWORKDAYS(J70,Avance!$B$2)))))</f>
        <v/>
      </c>
      <c r="O70" s="84">
        <f>IF(J70="","n/a",IF(L70&lt;&gt;"",L70-K70,IF(G70="Hecho","s/d",MAX(0,Avance!$B$2-K70))))</f>
        <v/>
      </c>
      <c r="P70" s="85">
        <f>IF(ISNUMBER(O70),ROUND(O70/7,1),O70)</f>
        <v/>
      </c>
      <c r="Q70" s="13">
        <f>IF(J70="","No planificada",IF(G70="Hecho",IF(L70="","Hecha (sin fecha)",IF(L70&gt;K70,"Hecha con atraso","Hecha a tiempo")),IF(Avance!$B$2&gt;K70,"Pendiente atrasada","Pendiente en plazo")))</f>
        <v/>
      </c>
      <c r="R70" s="102" t="inlineStr">
        <is>
          <t>GE-01</t>
        </is>
      </c>
    </row>
    <row r="71" ht="15.75" customHeight="1" s="51">
      <c r="A71" s="8" t="inlineStr">
        <is>
          <t>Cierre</t>
        </is>
      </c>
      <c r="B71" s="13" t="inlineStr">
        <is>
          <t>Gestión de proyecto</t>
        </is>
      </c>
      <c r="C71" s="13" t="inlineStr">
        <is>
          <t>Presentación del MVP al cliente (04-12-2026)</t>
        </is>
      </c>
      <c r="D71" s="13" t="inlineStr">
        <is>
          <t>Equipo completo</t>
        </is>
      </c>
      <c r="E71" s="12" t="n">
        <v>1</v>
      </c>
      <c r="F71" s="13" t="inlineStr">
        <is>
          <t>Ensayo aprobado</t>
        </is>
      </c>
      <c r="G71" s="13" t="inlineStr">
        <is>
          <t>Por hacer</t>
        </is>
      </c>
      <c r="H71" s="30" t="n"/>
      <c r="I71" s="13" t="inlineStr">
        <is>
          <t>Plan original</t>
        </is>
      </c>
      <c r="J71" s="82">
        <f>IF($I71="Plan original",INDEX('Roadmap Sprints'!$B$2:$B$9,MATCH(IF($A71="Cierre","Semana de cierre",$A71),'Roadmap Sprints'!$A$2:$A$9,0)),"")</f>
        <v/>
      </c>
      <c r="K71" s="82">
        <f>IF($I71="Plan original",INDEX('Roadmap Sprints'!$C$2:$C$9,MATCH(IF($A71="Cierre","Semana de cierre",$A71),'Roadmap Sprints'!$A$2:$A$9,0)),"")</f>
        <v/>
      </c>
      <c r="L71" s="83" t="n"/>
      <c r="M71" s="84">
        <f>IF(J71="","",NETWORKDAYS(J71,K71))</f>
        <v/>
      </c>
      <c r="N71" s="84">
        <f>IF(J71="","",IF(L71&lt;&gt;"",IF(L71&lt;J71,0,NETWORKDAYS(J71,L71)),IF(G71="Hecho","",IF(Avance!$B$2&lt;J71,0,NETWORKDAYS(J71,Avance!$B$2)))))</f>
        <v/>
      </c>
      <c r="O71" s="84">
        <f>IF(J71="","n/a",IF(L71&lt;&gt;"",L71-K71,IF(G71="Hecho","s/d",MAX(0,Avance!$B$2-K71))))</f>
        <v/>
      </c>
      <c r="P71" s="85">
        <f>IF(ISNUMBER(O71),ROUND(O71/7,1),O71)</f>
        <v/>
      </c>
      <c r="Q71" s="13">
        <f>IF(J71="","No planificada",IF(G71="Hecho",IF(L71="","Hecha (sin fecha)",IF(L71&gt;K71,"Hecha con atraso","Hecha a tiempo")),IF(Avance!$B$2&gt;K71,"Pendiente atrasada","Pendiente en plazo")))</f>
        <v/>
      </c>
      <c r="R71" s="102" t="inlineStr">
        <is>
          <t>GE-01</t>
        </is>
      </c>
    </row>
    <row r="72" ht="15.75" customHeight="1" s="51"/>
    <row r="73" ht="15.75" customHeight="1" s="51">
      <c r="C73" s="61" t="inlineStr">
        <is>
          <t>Total estimado (días-persona)</t>
        </is>
      </c>
      <c r="E73" s="61">
        <f>SUM(E2:E71)</f>
        <v/>
      </c>
    </row>
    <row r="74" ht="15.75" customHeight="1" s="51">
      <c r="C74" s="58" t="inlineStr">
        <is>
          <t xml:space="preserve">   del plan original</t>
        </is>
      </c>
      <c r="E74" s="58">
        <f>SUMIF(I2:I71,"Plan original",E2:E71)</f>
        <v/>
      </c>
    </row>
    <row r="75" ht="15.75" customHeight="1" s="51">
      <c r="C75" s="58" t="inlineStr">
        <is>
          <t xml:space="preserve">   agregadas, no planificadas (estimación retroactiva)</t>
        </is>
      </c>
      <c r="E75" s="58">
        <f>SUMIF(I2:I71,"Agregada*",E2:E71)</f>
        <v/>
      </c>
    </row>
    <row r="76" ht="15.75" customHeight="1" s="51">
      <c r="C76" s="87" t="inlineStr">
        <is>
          <t>Nota: los días de las actividades agregadas son una estimación retroactiva hecha a partir del historial de git (18-oct-2026); confirmar con quien las realizó.</t>
        </is>
      </c>
    </row>
    <row r="77" ht="15.75" customHeight="1" s="51">
      <c r="C77" s="86" t="inlineStr">
        <is>
          <t>Cómo leer el contraste plan vs. real (columnas J a Q):</t>
        </is>
      </c>
    </row>
    <row r="78" ht="15.75" customHeight="1" s="51">
      <c r="C78" s="87" t="inlineStr">
        <is>
          <t>• Fin plan = último día del sprint donde se planificó la actividad (hoja 'Roadmap Sprints'). Las actividades agregadas no tienen compromiso, por eso figuran 'No planificada'.</t>
        </is>
      </c>
    </row>
    <row r="79" ht="15.75" customHeight="1" s="51">
      <c r="C79" s="87" t="inlineStr">
        <is>
          <t>• Término real = fecha del commit o documento que evidencia que quedó hecha. Puede ser posterior al término verdadero (por ejemplo, un documento se subió después). En azul porque es un dato ingresado.</t>
        </is>
      </c>
    </row>
    <row r="80" ht="15.75" customHeight="1" s="51">
      <c r="C80" s="87" t="inlineStr">
        <is>
          <t>• Días hábiles esperados = ventana del sprint (lunes a viernes). Días hábiles ejecutados = desde el inicio del sprint planificado hasta el término real o, si sigue pendiente, hasta la fecha de corte (Avance!B2).</t>
        </is>
      </c>
    </row>
    <row r="81" ht="15.75" customHeight="1" s="51">
      <c r="C81" s="87" t="inlineStr">
        <is>
          <t>• Atraso = término real menos fin plan (negativo = se adelantó). Si sigue pendiente = fecha de corte menos fin plan, solo si ya pasó el compromiso. 's/d' = marcada Hecha sin fecha de evidencia.</t>
        </is>
      </c>
    </row>
    <row r="82" ht="15.75" customHeight="1" s="51">
      <c r="C82" s="87" t="inlineStr">
        <is>
          <t>• No se descuentan feriados chilenos (igual que la hoja 'Roadmap Sprints').</t>
        </is>
      </c>
    </row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1" min="1" max="1"/>
    <col width="30" customWidth="1" style="51" min="2" max="2"/>
    <col width="55" customWidth="1" style="51" min="3" max="3"/>
    <col width="20" customWidth="1" style="51" min="4" max="4"/>
    <col width="8.710000000000001" customWidth="1" style="51" min="5" max="26"/>
  </cols>
  <sheetData>
    <row r="1">
      <c r="A1" s="5" t="inlineStr">
        <is>
          <t>Fecha</t>
        </is>
      </c>
      <c r="B1" s="5" t="inlineStr">
        <is>
          <t>Hito</t>
        </is>
      </c>
      <c r="C1" s="5" t="inlineStr">
        <is>
          <t>Descripción</t>
        </is>
      </c>
      <c r="D1" s="5" t="inlineStr">
        <is>
          <t>Días restantes desde hoy (24-08-2026)</t>
        </is>
      </c>
    </row>
    <row r="2">
      <c r="A2" s="38" t="n">
        <v>46271</v>
      </c>
      <c r="B2" s="14" t="inlineStr">
        <is>
          <t>Cierre cotización + arquitectura + diseño ML</t>
        </is>
      </c>
      <c r="C2" s="17" t="inlineStr">
        <is>
          <t>Arquitectura Firebase aprobada, cotización de sensores finalizada y diseño de la simulación de datos para ML listo</t>
        </is>
      </c>
      <c r="D2" s="16">
        <f>A2-DATE(2026,8,24)</f>
        <v/>
      </c>
    </row>
    <row r="3">
      <c r="A3" s="38" t="n">
        <v>46285</v>
      </c>
      <c r="B3" s="14" t="inlineStr">
        <is>
          <t>Compra de sensores + primer modelo ML</t>
        </is>
      </c>
      <c r="C3" s="17" t="inlineStr">
        <is>
          <t>Orden de compra emitida, Authentication funcionando y primer modelo de ML entrenado con datos 100% simulados</t>
        </is>
      </c>
      <c r="D3" s="16">
        <f>A3-DATE(2026,8,24)</f>
        <v/>
      </c>
    </row>
    <row r="4">
      <c r="A4" s="38" t="n">
        <v>46299</v>
      </c>
      <c r="B4" s="14" t="inlineStr">
        <is>
          <t>Maqueta armada + ML integrado al backend</t>
        </is>
      </c>
      <c r="C4" s="17" t="inlineStr">
        <is>
          <t>Estructura física y sensores montados en la maqueta; modelo ML ya servido desde una Cloud Function</t>
        </is>
      </c>
      <c r="D4" s="16">
        <f>A4-DATE(2026,8,24)</f>
        <v/>
      </c>
    </row>
    <row r="5">
      <c r="A5" s="38" t="n">
        <v>46313</v>
      </c>
      <c r="B5" s="14" t="inlineStr">
        <is>
          <t>Primer end-to-end en vivo + panel predictivo inicial</t>
        </is>
      </c>
      <c r="C5" s="17" t="inlineStr">
        <is>
          <t>Datos reales de la maqueta visibles en el dashboard, con un primer panel de proyección ML (basado en datos simulados)</t>
        </is>
      </c>
      <c r="D5" s="16">
        <f>A5-DATE(2026,8,24)</f>
        <v/>
      </c>
    </row>
    <row r="6">
      <c r="A6" s="38" t="n">
        <v>46327</v>
      </c>
      <c r="B6" s="14" t="inlineStr">
        <is>
          <t>Visualización completa + ML usando datos reales</t>
        </is>
      </c>
      <c r="C6" s="17" t="inlineStr">
        <is>
          <t>Todas las variables clave visibles en tiempo real + históricos + modelos ML empezando a recalibrarse con datos reales</t>
        </is>
      </c>
      <c r="D6" s="16">
        <f>A6-DATE(2026,8,24)</f>
        <v/>
      </c>
    </row>
    <row r="7">
      <c r="A7" s="38" t="n">
        <v>46341</v>
      </c>
      <c r="B7" s="14" t="inlineStr">
        <is>
          <t>Seguridad y roles listos + ML validado</t>
        </is>
      </c>
      <c r="C7" s="17" t="inlineStr">
        <is>
          <t>Control de acceso por rol, reglas de seguridad aplicadas y modelos ML validados contra datos reales acumulados</t>
        </is>
      </c>
      <c r="D7" s="16">
        <f>A7-DATE(2026,8,24)</f>
        <v/>
      </c>
    </row>
    <row r="8">
      <c r="A8" s="38" t="n">
        <v>46355</v>
      </c>
      <c r="B8" s="14" t="inlineStr">
        <is>
          <t>MVP completo listo para UAT</t>
        </is>
      </c>
      <c r="C8" s="17" t="inlineStr">
        <is>
          <t>Ambiente de staging/producción estable, probado end-to-end, documentado y con UAT en curso</t>
        </is>
      </c>
      <c r="D8" s="16">
        <f>A8-DATE(2026,8,24)</f>
        <v/>
      </c>
    </row>
    <row r="9">
      <c r="A9" s="38" t="n">
        <v>46360</v>
      </c>
      <c r="B9" s="14" t="inlineStr">
        <is>
          <t>Presentación al cliente</t>
        </is>
      </c>
      <c r="C9" s="17" t="inlineStr">
        <is>
          <t>Demo oficial del MVP ante el cliente (fecha adelantada desde el 18-12 original)</t>
        </is>
      </c>
      <c r="D9" s="16">
        <f>A9-DATE(2026,8,24)</f>
        <v/>
      </c>
    </row>
    <row r="21" ht="15.75" customHeight="1" s="51"/>
    <row r="22" ht="15.75" customHeight="1" s="51"/>
    <row r="23" ht="15.75" customHeight="1" s="51"/>
    <row r="24" ht="15.75" customHeight="1" s="51"/>
    <row r="25" ht="15.75" customHeight="1" s="51"/>
    <row r="26" ht="15.75" customHeight="1" s="51"/>
    <row r="27" ht="15.75" customHeight="1" s="51"/>
    <row r="28" ht="15.75" customHeight="1" s="51"/>
    <row r="29" ht="15.75" customHeight="1" s="51"/>
    <row r="30" ht="15.75" customHeight="1" s="51"/>
    <row r="31" ht="15.75" customHeight="1" s="51"/>
    <row r="32" ht="15.75" customHeight="1" s="51"/>
    <row r="33" ht="15.75" customHeight="1" s="51"/>
    <row r="34" ht="15.75" customHeight="1" s="51"/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2" customWidth="1" style="51" min="1" max="1"/>
    <col width="14" customWidth="1" style="51" min="2" max="3"/>
    <col width="12" customWidth="1" style="51" min="4" max="4"/>
    <col width="50" customWidth="1" style="51" min="5" max="5"/>
    <col width="8.710000000000001" customWidth="1" style="51" min="6" max="26"/>
  </cols>
  <sheetData>
    <row r="1">
      <c r="A1" s="5" t="inlineStr">
        <is>
          <t>Riesgo</t>
        </is>
      </c>
      <c r="B1" s="5" t="inlineStr">
        <is>
          <t>Categoría</t>
        </is>
      </c>
      <c r="C1" s="5" t="inlineStr">
        <is>
          <t>Probabilidad</t>
        </is>
      </c>
      <c r="D1" s="5" t="inlineStr">
        <is>
          <t>Impacto</t>
        </is>
      </c>
      <c r="E1" s="5" t="inlineStr">
        <is>
          <t>Mitigación</t>
        </is>
      </c>
    </row>
    <row r="2">
      <c r="A2" s="17" t="inlineStr">
        <is>
          <t>Plazo de entrega de sensores/proveedores más largo de lo cotizado</t>
        </is>
      </c>
      <c r="B2" s="17" t="inlineStr">
        <is>
          <t>Hardware</t>
        </is>
      </c>
      <c r="C2" s="42" t="inlineStr">
        <is>
          <t>Alta</t>
        </is>
      </c>
      <c r="D2" s="42" t="inlineStr">
        <is>
          <t>Alto</t>
        </is>
      </c>
      <c r="E2" s="17" t="inlineStr">
        <is>
          <t>Cotizar y comprar en el Sprint 1-2 (lo antes posible); tener proveedor alternativo; usar datos simulados en paralelo para no bloquear el desarrollo de software</t>
        </is>
      </c>
    </row>
    <row r="3">
      <c r="A3" s="17" t="inlineStr">
        <is>
          <t>Falla o descalibración de sensores durante pruebas</t>
        </is>
      </c>
      <c r="B3" s="17" t="inlineStr">
        <is>
          <t>Hardware</t>
        </is>
      </c>
      <c r="C3" s="47" t="inlineStr">
        <is>
          <t>Media</t>
        </is>
      </c>
      <c r="D3" s="47" t="inlineStr">
        <is>
          <t>Medio</t>
        </is>
      </c>
      <c r="E3" s="17" t="inlineStr">
        <is>
          <t>Comprar 1-2 sensores de respaldo por variable; calendarizar calibración en Sprint 4</t>
        </is>
      </c>
    </row>
    <row r="4">
      <c r="A4" s="17" t="inlineStr">
        <is>
          <t>Conectividad inestable entre maqueta/gateway y Firebase</t>
        </is>
      </c>
      <c r="B4" s="17" t="inlineStr">
        <is>
          <t>Backend</t>
        </is>
      </c>
      <c r="C4" s="47" t="inlineStr">
        <is>
          <t>Media</t>
        </is>
      </c>
      <c r="D4" s="42" t="inlineStr">
        <is>
          <t>Alto</t>
        </is>
      </c>
      <c r="E4" s="17" t="inlineStr">
        <is>
          <t>Implementar manejo de reconexión y buffer local de datos en el gateway (Sprint 6)</t>
        </is>
      </c>
    </row>
    <row r="5">
      <c r="A5" s="17" t="inlineStr">
        <is>
          <t>Sub-estimación del esfuerzo de visualización en tiempo real</t>
        </is>
      </c>
      <c r="B5" s="17" t="inlineStr">
        <is>
          <t>Frontend</t>
        </is>
      </c>
      <c r="C5" s="47" t="inlineStr">
        <is>
          <t>Media</t>
        </is>
      </c>
      <c r="D5" s="47" t="inlineStr">
        <is>
          <t>Medio</t>
        </is>
      </c>
      <c r="E5" s="17" t="inlineStr">
        <is>
          <t>Empezar con 1-2 variables en Sprint 4 antes de escalar a todas las variables en Sprint 5</t>
        </is>
      </c>
    </row>
    <row r="6">
      <c r="A6" s="17" t="inlineStr">
        <is>
          <t>Cambios de alcance solicitados por el cliente durante el proyecto</t>
        </is>
      </c>
      <c r="B6" s="17" t="inlineStr">
        <is>
          <t>Gestión</t>
        </is>
      </c>
      <c r="C6" s="42" t="inlineStr">
        <is>
          <t>Alta</t>
        </is>
      </c>
      <c r="D6" s="47" t="inlineStr">
        <is>
          <t>Medio</t>
        </is>
      </c>
      <c r="E6" s="17" t="inlineStr">
        <is>
          <t>Backlog priorizado y revisiones de sprint (sprint review) con el cliente para validar alcance a tiempo</t>
        </is>
      </c>
    </row>
    <row r="7">
      <c r="A7" s="17" t="inlineStr">
        <is>
          <t>Sobrecarga del técnico (única persona a cargo de la maqueta)</t>
        </is>
      </c>
      <c r="B7" s="17" t="inlineStr">
        <is>
          <t>Equipo</t>
        </is>
      </c>
      <c r="C7" s="47" t="inlineStr">
        <is>
          <t>Media</t>
        </is>
      </c>
      <c r="D7" s="42" t="inlineStr">
        <is>
          <t>Alto</t>
        </is>
      </c>
      <c r="E7" s="17" t="inlineStr">
        <is>
          <t>Involucrar a un desarrollador de apoyo en tareas simples de hardware; planificar holguras en Sprints 3 y 6</t>
        </is>
      </c>
    </row>
    <row r="8">
      <c r="A8" s="17" t="inlineStr">
        <is>
          <t>Fecha de demo fija (04-12-2026), adelantada 2 semanas respecto al plazo original, sin margen real de atraso</t>
        </is>
      </c>
      <c r="B8" s="17" t="inlineStr">
        <is>
          <t>Gestión</t>
        </is>
      </c>
      <c r="C8" s="42" t="inlineStr">
        <is>
          <t>Alta</t>
        </is>
      </c>
      <c r="D8" s="42" t="inlineStr">
        <is>
          <t>Alto</t>
        </is>
      </c>
      <c r="E8" s="17" t="inlineStr">
        <is>
          <t>El cronograma pasó de 8 a 7 sprints manteniendo el mismo alcance (incluido ML); la semana de cierre (30 nov-4 dic) es ahora el único colchón real, no un buffer adicional; congelar todo alcance nuevo desde el Sprint 6 y revisar avance real vs. plan en cada sprint review</t>
        </is>
      </c>
    </row>
    <row r="9">
      <c r="A9" s="17" t="inlineStr">
        <is>
          <t>No existen datos históricos reales para entrenar los modelos de ML clásico</t>
        </is>
      </c>
      <c r="B9" s="17" t="inlineStr">
        <is>
          <t>Datos / Analítica</t>
        </is>
      </c>
      <c r="C9" s="42" t="inlineStr">
        <is>
          <t>Alta</t>
        </is>
      </c>
      <c r="D9" s="42" t="inlineStr">
        <is>
          <t>Alto</t>
        </is>
      </c>
      <c r="E9" s="17" t="inlineStr">
        <is>
          <t>Usar datos simulados/sintéticos física-informados desde el Sprint 1-2 para entrenar y probar los modelos (regresión / ARIMA-Prophet); recalibrarlos progresivamente con datos reales de la maqueta desde el Sprint 3-5; ser transparentes con el cliente en la demo sobre que el modelo mejora su precisión con más datos reales de uso</t>
        </is>
      </c>
    </row>
    <row r="10">
      <c r="A10" s="17" t="inlineStr">
        <is>
          <t>El análisis predictivo con ML clásico agrega alcance nuevo sin que se haya ampliado el plazo ni el equipo (y encima el plazo se acortó)</t>
        </is>
      </c>
      <c r="B10" s="17" t="inlineStr">
        <is>
          <t>Gestión</t>
        </is>
      </c>
      <c r="C10" s="42" t="inlineStr">
        <is>
          <t>Alta</t>
        </is>
      </c>
      <c r="D10" s="42" t="inlineStr">
        <is>
          <t>Alto</t>
        </is>
      </c>
      <c r="E10" s="17" t="inlineStr">
        <is>
          <t>Mantener el ML acotado a modelos clásicos simples (regresión/series de tiempo), nunca deep learning; si se atrasa, priorizarlo sobre pulido de UI secundario o históricos extendidos, nunca sobre el pipeline de datos en tiempo real que es el core del MVP; evaluar en el sprint review de Sprint 4 si el ritmo real permite sostener el alcance completo o si hay que recortar</t>
        </is>
      </c>
    </row>
    <row r="21" ht="15.75" customHeight="1" s="51"/>
    <row r="22" ht="15.75" customHeight="1" s="51"/>
    <row r="23" ht="15.75" customHeight="1" s="51"/>
    <row r="24" ht="15.75" customHeight="1" s="51"/>
    <row r="25" ht="15.75" customHeight="1" s="51"/>
    <row r="26" ht="15.75" customHeight="1" s="51"/>
    <row r="27" ht="15.75" customHeight="1" s="51"/>
    <row r="28" ht="15.75" customHeight="1" s="51"/>
    <row r="29" ht="15.75" customHeight="1" s="51"/>
    <row r="30" ht="15.75" customHeight="1" s="51"/>
    <row r="31" ht="15.75" customHeight="1" s="51"/>
    <row r="32" ht="15.75" customHeight="1" s="51"/>
    <row r="33" ht="15.75" customHeight="1" s="51"/>
    <row r="34" ht="15.75" customHeight="1" s="51"/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ColWidth="14.43" defaultRowHeight="15" customHeight="1"/>
  <cols>
    <col width="26" customWidth="1" style="51" min="1" max="1"/>
    <col width="34" customWidth="1" style="51" min="2" max="3"/>
    <col width="20" customWidth="1" style="51" min="4" max="4"/>
    <col width="8.710000000000001" customWidth="1" style="51" min="5" max="26"/>
  </cols>
  <sheetData>
    <row r="1">
      <c r="A1" s="1" t="inlineStr">
        <is>
          <t>Análisis predictivo del MVP – enfoque recomendado (ML clásico)</t>
        </is>
      </c>
    </row>
    <row r="2">
      <c r="A2" s="2" t="inlineStr">
        <is>
          <t>Sin datos históricos reales al día de hoy (24-08-2026): se entrena con datos simulados desde el inicio y se recalibra con datos reales de la maqueta a medida que se acumulan. Plazo comprimido al 04-12-2026.</t>
        </is>
      </c>
    </row>
    <row r="4">
      <c r="A4" s="3" t="inlineStr">
        <is>
          <t>Decisión de alcance</t>
        </is>
      </c>
    </row>
    <row r="5" ht="60" customHeight="1" s="51">
      <c r="A5" s="48" t="inlineStr">
        <is>
          <t>Qué SÍ entra en el MVP</t>
        </is>
      </c>
      <c r="B5" s="17" t="inlineStr">
        <is>
          <t>Análisis predictivo con Machine Learning clásico: modelos de regresión y/o series de tiempo (ARIMA, Prophet) para proyectar cuándo se agotará el stock de un químico o el consumo de agua según el ritmo actual, y modelos de detección de anomalías/tendencia (ej. umbrales dinámicos, Isolation Forest) para alertar cuando una variable (pH, temperatura, conductividad) muestra una tendencia hacia fuera de rango.</t>
        </is>
      </c>
      <c r="C5" s="53" t="n"/>
      <c r="D5" s="54" t="n"/>
    </row>
    <row r="7" ht="60" customHeight="1" s="51">
      <c r="A7" s="48" t="inlineStr">
        <is>
          <t>Por qué ML clásico y no deep learning</t>
        </is>
      </c>
      <c r="B7" s="17" t="inlineStr">
        <is>
          <t>Un modelo de deep learning (redes neuronales, LSTM) necesita mucho más volumen de datos reales, tiempo de tuning e infraestructura adicional (Firebase Functions es Node.js; un modelo Python probablemente requiera Cloud Run o Vertex AI aparte) de lo que el cronograma permite, más aún tras acortarse a 04-12. Los modelos de ML clásico son livianos de entrenar, se pueden servir fácilmente desde el backend, y dan una demo creíble sin ese costo de tiempo.</t>
        </is>
      </c>
      <c r="C7" s="53" t="n"/>
      <c r="D7" s="54" t="n"/>
    </row>
    <row r="9" ht="60" customHeight="1" s="51">
      <c r="A9" s="48" t="inlineStr">
        <is>
          <t>Qué NO entra en el MVP</t>
        </is>
      </c>
      <c r="B9" s="17" t="inlineStr">
        <is>
          <t>Modelos de deep learning (redes neuronales, LSTM, clasificación de fallas avanzada, mantenimiento predictivo). Quedan como evolución natural del producto una vez que la maqueta/planta acumule datos reales de varios meses.</t>
        </is>
      </c>
      <c r="C9" s="53" t="n"/>
      <c r="D9" s="54" t="n"/>
    </row>
    <row r="11" ht="60" customHeight="1" s="51">
      <c r="A11" s="48" t="inlineStr">
        <is>
          <t>Impacto del plazo adelantado (04-12 en vez de 18-12)</t>
        </is>
      </c>
      <c r="B11" s="17" t="inlineStr">
        <is>
          <t>El módulo de ML se mueve al inicio del proyecto (diseño en Sprint 1, dataset simulado y primer entrenamiento en Sprint 2) para que la recalibración con datos reales pueda empezar apenas la maqueta entregue sus primeras lecturas (Sprint 5), en vez de esperar a los últimos sprints como en el plan original.</t>
        </is>
      </c>
      <c r="C11" s="53" t="n"/>
      <c r="D11" s="54" t="n"/>
    </row>
    <row r="14">
      <c r="A14" s="3" t="inlineStr">
        <is>
          <t>Plan de datos por etapa</t>
        </is>
      </c>
    </row>
    <row r="15" ht="15" customHeight="1" s="51">
      <c r="A15" s="5" t="inlineStr">
        <is>
          <t>Etapa</t>
        </is>
      </c>
      <c r="B15" s="5" t="inlineStr">
        <is>
          <t>Origen de los datos</t>
        </is>
      </c>
      <c r="C15" s="5" t="inlineStr">
        <is>
          <t>Qué permite hacer</t>
        </is>
      </c>
      <c r="D15" s="54" t="n"/>
    </row>
    <row r="16" ht="45" customHeight="1" s="51">
      <c r="A16" s="48" t="inlineStr">
        <is>
          <t>Sprint 1 (24 ago–6 sep)</t>
        </is>
      </c>
      <c r="B16" s="17" t="inlineStr">
        <is>
          <t>Ninguno todavía — se diseña qué y cómo simular (variables, rangos, patrones física-informados de un ciclo CIP)</t>
        </is>
      </c>
      <c r="C16" s="49" t="inlineStr">
        <is>
          <t>Dejar un diseño de simulación validado por el equipo antes de escribir código de ML</t>
        </is>
      </c>
      <c r="D16" s="53" t="n"/>
    </row>
    <row r="17" ht="45" customHeight="1" s="51">
      <c r="A17" s="48" t="inlineStr">
        <is>
          <t>Sprint 2 (7–20 sep)</t>
        </is>
      </c>
      <c r="B17" s="17" t="inlineStr">
        <is>
          <t>Dataset 100% simulado/sintético (generado en Python según el diseño del Sprint 1)</t>
        </is>
      </c>
      <c r="C17" s="49" t="inlineStr">
        <is>
          <t>Entrenar la primera versión de los modelos de ML clásico (regresión / ARIMA-Prophet) sin quedar bloqueados esperando la maqueta</t>
        </is>
      </c>
      <c r="D17" s="53" t="n"/>
    </row>
    <row r="18" ht="45" customHeight="1" s="51">
      <c r="A18" s="48" t="inlineStr">
        <is>
          <t>Sprint 3-4 (21 sep–18 oct)</t>
        </is>
      </c>
      <c r="B18" s="17" t="inlineStr">
        <is>
          <t>Dataset simulado + primeras lecturas reales puntuales de la maqueta</t>
        </is>
      </c>
      <c r="C18" s="49" t="inlineStr">
        <is>
          <t>Integrar el modelo al backend (Cloud Function) y mostrar un primer panel predictivo en el dashboard, aunque el modelo aún esté entrenado solo con datos simulados</t>
        </is>
      </c>
      <c r="D18" s="53" t="n"/>
    </row>
    <row r="19" ht="45" customHeight="1" s="51">
      <c r="A19" s="48" t="inlineStr">
        <is>
          <t>Sprint 5 (19 oct–1 nov)</t>
        </is>
      </c>
      <c r="B19" s="17" t="inlineStr">
        <is>
          <t>Datos reales acumulados de las primeras 1-2 semanas de la maqueta funcionando</t>
        </is>
      </c>
      <c r="C19" s="49" t="inlineStr">
        <is>
          <t>Empezar a recalibrar/re-entrenar los modelos con datos reales en vez de solo simulados</t>
        </is>
      </c>
      <c r="D19" s="53" t="n"/>
    </row>
    <row r="20" ht="45" customHeight="1" s="51">
      <c r="A20" s="48" t="inlineStr">
        <is>
          <t>Sprint 6 (2–15 nov)</t>
        </is>
      </c>
      <c r="B20" s="17" t="inlineStr">
        <is>
          <t>Datos reales acumulados de ~4-5 semanas de la maqueta</t>
        </is>
      </c>
      <c r="C20" s="49" t="inlineStr">
        <is>
          <t>Validar si las proyecciones/alertas tienen sentido frente a lo que realmente ocurrió, y ajustar</t>
        </is>
      </c>
      <c r="D20" s="53" t="n"/>
    </row>
    <row r="21" ht="45" customHeight="1" s="51">
      <c r="A21" s="48" t="inlineStr">
        <is>
          <t>Sprint 7 y cierre (16 nov–4 dic)</t>
        </is>
      </c>
      <c r="B21" s="17" t="inlineStr">
        <is>
          <t>Datos reales + fallback a datos simulados extendidos solo para completar el rango visual en la demo, dejándolo explícito en el guion</t>
        </is>
      </c>
      <c r="C21" s="49" t="inlineStr">
        <is>
          <t>Presentar el panel predictivo de forma creíble sin prometer al cliente una precisión que un histórico de meses no puede sustentar aún</t>
        </is>
      </c>
      <c r="D21" s="53" t="n"/>
    </row>
    <row r="22" ht="15.75" customHeight="1" s="51"/>
    <row r="23" ht="15.75" customHeight="1" s="51">
      <c r="A23" s="3" t="inlineStr">
        <is>
          <t>Qué mostrar en la demo del 04-12</t>
        </is>
      </c>
    </row>
    <row r="24" ht="23.25" customHeight="1" s="51">
      <c r="A24" s="18" t="inlineStr">
        <is>
          <t>•</t>
        </is>
      </c>
      <c r="B24" s="19" t="inlineStr">
        <is>
          <t>Proyección de consumo (regresión / series de tiempo): 'al ritmo actual, el químico X se agota en aproximadamente N días'.</t>
        </is>
      </c>
    </row>
    <row r="25" ht="23.25" customHeight="1" s="51">
      <c r="A25" s="18" t="inlineStr">
        <is>
          <t>•</t>
        </is>
      </c>
      <c r="B25" s="19" t="inlineStr">
        <is>
          <t>Alerta de tendencia (detección de anomalías): 'la conductividad viene subiendo en las últimas horas y podría salir de rango si continúa así'.</t>
        </is>
      </c>
    </row>
    <row r="26" ht="23.25" customHeight="1" s="51">
      <c r="A26" s="18" t="inlineStr">
        <is>
          <t>•</t>
        </is>
      </c>
      <c r="B26" s="19" t="inlineStr">
        <is>
          <t>Ser transparentes con el cliente sobre que el modelo se entrenó con datos simulados y reales de la maqueta, y que mejora su precisión a medida que se acumulen más datos reales de uso en planta.</t>
        </is>
      </c>
    </row>
    <row r="27" ht="15.75" customHeight="1" s="51"/>
    <row r="28" ht="15.75" customHeight="1" s="51"/>
    <row r="29" ht="15.75" customHeight="1" s="51"/>
    <row r="30" ht="15.75" customHeight="1" s="51"/>
    <row r="31" ht="15.75" customHeight="1" s="51"/>
    <row r="32" ht="15.75" customHeight="1" s="51"/>
    <row r="33" ht="15.75" customHeight="1" s="51"/>
    <row r="34" ht="15.75" customHeight="1" s="51"/>
    <row r="35" ht="15.75" customHeight="1" s="51"/>
    <row r="36" ht="15.75" customHeight="1" s="51"/>
    <row r="37" ht="15.75" customHeight="1" s="51"/>
    <row r="38" ht="15.75" customHeight="1" s="51"/>
    <row r="39" ht="15.75" customHeight="1" s="51"/>
    <row r="40" ht="15.75" customHeight="1" s="51"/>
    <row r="41" ht="15.75" customHeight="1" s="51"/>
    <row r="42" ht="15.75" customHeight="1" s="51"/>
    <row r="43" ht="15.75" customHeight="1" s="51"/>
    <row r="44" ht="15.75" customHeight="1" s="51"/>
    <row r="45" ht="15.75" customHeight="1" s="51"/>
    <row r="46" ht="15.75" customHeight="1" s="51"/>
    <row r="47" ht="15.75" customHeight="1" s="51"/>
    <row r="48" ht="15.75" customHeight="1" s="51"/>
    <row r="49" ht="15.75" customHeight="1" s="51"/>
    <row r="50" ht="15.75" customHeight="1" s="51"/>
    <row r="51" ht="15.75" customHeight="1" s="51"/>
    <row r="52" ht="15.75" customHeight="1" s="51"/>
    <row r="53" ht="15.75" customHeight="1" s="51"/>
    <row r="54" ht="15.75" customHeight="1" s="51"/>
    <row r="55" ht="15.75" customHeight="1" s="51"/>
    <row r="56" ht="15.75" customHeight="1" s="51"/>
    <row r="57" ht="15.75" customHeight="1" s="51"/>
    <row r="58" ht="15.75" customHeight="1" s="51"/>
    <row r="59" ht="15.75" customHeight="1" s="51"/>
    <row r="60" ht="15.75" customHeight="1" s="51"/>
    <row r="61" ht="15.75" customHeight="1" s="51"/>
    <row r="62" ht="15.75" customHeight="1" s="51"/>
    <row r="63" ht="15.75" customHeight="1" s="51"/>
    <row r="64" ht="15.75" customHeight="1" s="51"/>
    <row r="65" ht="15.75" customHeight="1" s="51"/>
    <row r="66" ht="15.75" customHeight="1" s="51"/>
    <row r="67" ht="15.75" customHeight="1" s="51"/>
    <row r="68" ht="15.75" customHeight="1" s="51"/>
    <row r="69" ht="15.75" customHeight="1" s="51"/>
    <row r="70" ht="15.75" customHeight="1" s="51"/>
    <row r="71" ht="15.75" customHeight="1" s="51"/>
    <row r="72" ht="15.75" customHeight="1" s="51"/>
    <row r="73" ht="15.75" customHeight="1" s="51"/>
    <row r="74" ht="15.75" customHeight="1" s="51"/>
    <row r="75" ht="15.75" customHeight="1" s="51"/>
    <row r="76" ht="15.75" customHeight="1" s="51"/>
    <row r="77" ht="15.75" customHeight="1" s="51"/>
    <row r="78" ht="15.75" customHeight="1" s="51"/>
    <row r="79" ht="15.75" customHeight="1" s="51"/>
    <row r="80" ht="15.75" customHeight="1" s="51"/>
    <row r="81" ht="15.75" customHeight="1" s="51"/>
    <row r="82" ht="15.75" customHeight="1" s="51"/>
    <row r="83" ht="15.75" customHeight="1" s="51"/>
    <row r="84" ht="15.75" customHeight="1" s="51"/>
    <row r="85" ht="15.75" customHeight="1" s="51"/>
    <row r="86" ht="15.75" customHeight="1" s="51"/>
    <row r="87" ht="15.75" customHeight="1" s="51"/>
    <row r="88" ht="15.75" customHeight="1" s="51"/>
    <row r="89" ht="15.75" customHeight="1" s="51"/>
    <row r="90" ht="15.75" customHeight="1" s="51"/>
    <row r="91" ht="15.75" customHeight="1" s="51"/>
    <row r="92" ht="15.75" customHeight="1" s="51"/>
    <row r="93" ht="15.75" customHeight="1" s="51"/>
    <row r="94" ht="15.75" customHeight="1" s="51"/>
    <row r="95" ht="15.75" customHeight="1" s="51"/>
    <row r="96" ht="15.75" customHeight="1" s="51"/>
    <row r="97" ht="15.75" customHeight="1" s="51"/>
    <row r="98" ht="15.75" customHeight="1" s="51"/>
    <row r="99" ht="15.75" customHeight="1" s="51"/>
    <row r="100" ht="15.75" customHeight="1" s="51"/>
    <row r="101" ht="15.75" customHeight="1" s="51"/>
    <row r="102" ht="15.75" customHeight="1" s="51"/>
    <row r="103" ht="15.75" customHeight="1" s="51"/>
    <row r="104" ht="15.75" customHeight="1" s="51"/>
    <row r="105" ht="15.75" customHeight="1" s="51"/>
    <row r="106" ht="15.75" customHeight="1" s="51"/>
    <row r="107" ht="15.75" customHeight="1" s="51"/>
    <row r="108" ht="15.75" customHeight="1" s="51"/>
    <row r="109" ht="15.75" customHeight="1" s="51"/>
    <row r="110" ht="15.75" customHeight="1" s="51"/>
    <row r="111" ht="15.75" customHeight="1" s="51"/>
    <row r="112" ht="15.75" customHeight="1" s="51"/>
    <row r="113" ht="15.75" customHeight="1" s="51"/>
    <row r="114" ht="15.75" customHeight="1" s="51"/>
    <row r="115" ht="15.75" customHeight="1" s="51"/>
    <row r="116" ht="15.75" customHeight="1" s="51"/>
    <row r="117" ht="15.75" customHeight="1" s="51"/>
    <row r="118" ht="15.75" customHeight="1" s="51"/>
    <row r="119" ht="15.75" customHeight="1" s="51"/>
    <row r="120" ht="15.75" customHeight="1" s="51"/>
    <row r="121" ht="15.75" customHeight="1" s="51"/>
    <row r="122" ht="15.75" customHeight="1" s="51"/>
    <row r="123" ht="15.75" customHeight="1" s="51"/>
    <row r="124" ht="15.75" customHeight="1" s="51"/>
    <row r="125" ht="15.75" customHeight="1" s="51"/>
    <row r="126" ht="15.75" customHeight="1" s="51"/>
    <row r="127" ht="15.75" customHeight="1" s="51"/>
    <row r="128" ht="15.75" customHeight="1" s="51"/>
    <row r="129" ht="15.75" customHeight="1" s="51"/>
    <row r="130" ht="15.75" customHeight="1" s="51"/>
    <row r="131" ht="15.75" customHeight="1" s="51"/>
    <row r="132" ht="15.75" customHeight="1" s="51"/>
    <row r="133" ht="15.75" customHeight="1" s="51"/>
    <row r="134" ht="15.75" customHeight="1" s="51"/>
    <row r="135" ht="15.75" customHeight="1" s="51"/>
    <row r="136" ht="15.75" customHeight="1" s="51"/>
    <row r="137" ht="15.75" customHeight="1" s="51"/>
    <row r="138" ht="15.75" customHeight="1" s="51"/>
    <row r="139" ht="15.75" customHeight="1" s="51"/>
    <row r="140" ht="15.75" customHeight="1" s="51"/>
    <row r="141" ht="15.75" customHeight="1" s="51"/>
    <row r="142" ht="15.75" customHeight="1" s="51"/>
    <row r="143" ht="15.75" customHeight="1" s="51"/>
    <row r="144" ht="15.75" customHeight="1" s="51"/>
    <row r="145" ht="15.75" customHeight="1" s="51"/>
    <row r="146" ht="15.75" customHeight="1" s="51"/>
    <row r="147" ht="15.75" customHeight="1" s="51"/>
    <row r="148" ht="15.75" customHeight="1" s="51"/>
    <row r="149" ht="15.75" customHeight="1" s="51"/>
    <row r="150" ht="15.75" customHeight="1" s="51"/>
    <row r="151" ht="15.75" customHeight="1" s="51"/>
    <row r="152" ht="15.75" customHeight="1" s="51"/>
    <row r="153" ht="15.75" customHeight="1" s="51"/>
    <row r="154" ht="15.75" customHeight="1" s="51"/>
    <row r="155" ht="15.75" customHeight="1" s="51"/>
    <row r="156" ht="15.75" customHeight="1" s="51"/>
    <row r="157" ht="15.75" customHeight="1" s="51"/>
    <row r="158" ht="15.75" customHeight="1" s="51"/>
    <row r="159" ht="15.75" customHeight="1" s="51"/>
    <row r="160" ht="15.75" customHeight="1" s="51"/>
    <row r="161" ht="15.75" customHeight="1" s="51"/>
    <row r="162" ht="15.75" customHeight="1" s="51"/>
    <row r="163" ht="15.75" customHeight="1" s="51"/>
    <row r="164" ht="15.75" customHeight="1" s="51"/>
    <row r="165" ht="15.75" customHeight="1" s="51"/>
    <row r="166" ht="15.75" customHeight="1" s="51"/>
    <row r="167" ht="15.75" customHeight="1" s="51"/>
    <row r="168" ht="15.75" customHeight="1" s="51"/>
    <row r="169" ht="15.75" customHeight="1" s="51"/>
    <row r="170" ht="15.75" customHeight="1" s="51"/>
    <row r="171" ht="15.75" customHeight="1" s="51"/>
    <row r="172" ht="15.75" customHeight="1" s="51"/>
    <row r="173" ht="15.75" customHeight="1" s="51"/>
    <row r="174" ht="15.75" customHeight="1" s="51"/>
    <row r="175" ht="15.75" customHeight="1" s="51"/>
    <row r="176" ht="15.75" customHeight="1" s="51"/>
    <row r="177" ht="15.75" customHeight="1" s="51"/>
    <row r="178" ht="15.75" customHeight="1" s="51"/>
    <row r="179" ht="15.75" customHeight="1" s="51"/>
    <row r="180" ht="15.75" customHeight="1" s="51"/>
    <row r="181" ht="15.75" customHeight="1" s="51"/>
    <row r="182" ht="15.75" customHeight="1" s="51"/>
    <row r="183" ht="15.75" customHeight="1" s="51"/>
    <row r="184" ht="15.75" customHeight="1" s="51"/>
    <row r="185" ht="15.75" customHeight="1" s="51"/>
    <row r="186" ht="15.75" customHeight="1" s="51"/>
    <row r="187" ht="15.75" customHeight="1" s="51"/>
    <row r="188" ht="15.75" customHeight="1" s="51"/>
    <row r="189" ht="15.75" customHeight="1" s="51"/>
    <row r="190" ht="15.75" customHeight="1" s="51"/>
    <row r="191" ht="15.75" customHeight="1" s="51"/>
    <row r="192" ht="15.75" customHeight="1" s="51"/>
    <row r="193" ht="15.75" customHeight="1" s="51"/>
    <row r="194" ht="15.75" customHeight="1" s="51"/>
    <row r="195" ht="15.75" customHeight="1" s="51"/>
    <row r="196" ht="15.75" customHeight="1" s="51"/>
    <row r="197" ht="15.75" customHeight="1" s="51"/>
    <row r="198" ht="15.75" customHeight="1" s="51"/>
    <row r="199" ht="15.75" customHeight="1" s="51"/>
    <row r="200" ht="15.75" customHeight="1" s="51"/>
    <row r="201" ht="15.75" customHeight="1" s="51"/>
    <row r="202" ht="15.75" customHeight="1" s="51"/>
    <row r="203" ht="15.75" customHeight="1" s="51"/>
    <row r="204" ht="15.75" customHeight="1" s="51"/>
    <row r="205" ht="15.75" customHeight="1" s="51"/>
    <row r="206" ht="15.75" customHeight="1" s="51"/>
    <row r="207" ht="15.75" customHeight="1" s="51"/>
    <row r="208" ht="15.75" customHeight="1" s="51"/>
    <row r="209" ht="15.75" customHeight="1" s="51"/>
    <row r="210" ht="15.75" customHeight="1" s="51"/>
    <row r="211" ht="15.75" customHeight="1" s="51"/>
    <row r="212" ht="15.75" customHeight="1" s="51"/>
    <row r="213" ht="15.75" customHeight="1" s="51"/>
    <row r="214" ht="15.75" customHeight="1" s="51"/>
    <row r="215" ht="15.75" customHeight="1" s="51"/>
    <row r="216" ht="15.75" customHeight="1" s="51"/>
    <row r="217" ht="15.75" customHeight="1" s="51"/>
    <row r="218" ht="15.75" customHeight="1" s="51"/>
    <row r="219" ht="15.75" customHeight="1" s="51"/>
    <row r="220" ht="15.75" customHeight="1" s="51"/>
    <row r="221" ht="15.75" customHeight="1" s="51"/>
    <row r="222" ht="15.75" customHeight="1" s="51"/>
    <row r="223" ht="15.75" customHeight="1" s="51"/>
    <row r="224" ht="15.75" customHeight="1" s="51"/>
    <row r="225" ht="15.75" customHeight="1" s="51"/>
    <row r="226" ht="15.75" customHeight="1" s="51"/>
    <row r="227" ht="15.75" customHeight="1" s="51"/>
    <row r="228" ht="15.75" customHeight="1" s="51"/>
    <row r="229" ht="15.7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mergeCells count="16">
    <mergeCell ref="A1:D1"/>
    <mergeCell ref="B11:D11"/>
    <mergeCell ref="C20:D20"/>
    <mergeCell ref="B5:D5"/>
    <mergeCell ref="C21:D21"/>
    <mergeCell ref="C16:D16"/>
    <mergeCell ref="C15:D15"/>
    <mergeCell ref="B25:D25"/>
    <mergeCell ref="C19:D19"/>
    <mergeCell ref="B26:D26"/>
    <mergeCell ref="B9:D9"/>
    <mergeCell ref="A2:D2"/>
    <mergeCell ref="C18:D18"/>
    <mergeCell ref="B7:D7"/>
    <mergeCell ref="C17:D17"/>
    <mergeCell ref="B24:D24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2026-08-31T19:47:05Z</dcterms:created>
  <dcterms:modified xmlns:dcterms="http://purl.org/dc/terms/" xmlns:xsi="http://www.w3.org/2001/XMLSchema-instance" xsi:type="dcterms:W3CDTF">2026-10-19T22:40:07Z</dcterms:modified>
</cp:coreProperties>
</file>